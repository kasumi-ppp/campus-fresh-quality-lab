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4282df7d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e46109926c54cbf"/>
    <x:sheet xmlns:r="http://schemas.openxmlformats.org/officeDocument/2006/relationships" name="用例清单" sheetId="2" r:id="R37b195b8e83f4ec4"/>
    <x:sheet xmlns:r="http://schemas.openxmlformats.org/officeDocument/2006/relationships" name="覆盖矩阵" sheetId="3" r:id="R3794f7658cc4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c8cb00f66428f" /><Relationship Type="http://schemas.openxmlformats.org/officeDocument/2006/relationships/theme" Target="/xl/theme/theme1.xml" Id="R48f6a0da32c74c48" /><Relationship Type="http://schemas.openxmlformats.org/officeDocument/2006/relationships/sharedStrings" Target="/xl/sharedStrings.xml" Id="Rd6673c6522f24a27" /><Relationship Type="http://schemas.openxmlformats.org/officeDocument/2006/relationships/worksheet" Target="/xl/worksheets/sheet1.xml" Id="Rde46109926c54cbf" /><Relationship Type="http://schemas.openxmlformats.org/officeDocument/2006/relationships/worksheet" Target="/xl/worksheets/sheet2.xml" Id="R37b195b8e83f4ec4" /><Relationship Type="http://schemas.openxmlformats.org/officeDocument/2006/relationships/worksheet" Target="/xl/worksheets/sheet3.xml" Id="R3794f7658cc4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</x:cols>
  <x:sheetData>
    <x:row r="1" ht="34" customHeight="1">
      <x:c r="A1" s="7" t="str">
        <x:v>校园鲜达｜模块一人工测试用例记录表</x:v>
      </x:c>
      <x:c r="B1" s="7"/>
      <x:c r="C1" s="7"/>
      <x:c r="D1" s="7"/>
      <x:c r="E1" s="7"/>
      <x:c r="F1" s="7"/>
      <x:c r="G1" s="7"/>
      <x:c r="H1" s="7"/>
    </x:row>
    <x:row r="3" ht="32" customHeight="1">
      <x:c r="A3" s="8" t="str">
        <x:v>用途</x:v>
      </x:c>
      <x:c r="B3" s="9" t="str">
        <x:v>本表提供 36 条需求覆盖框架，供三位成员按作业要求亲自补写、执行和留存证据。</x:v>
      </x:c>
    </x:row>
    <x:row r="4" ht="32" customHeight="1">
      <x:c r="A4" s="8" t="str">
        <x:v>课程边界</x:v>
      </x:c>
      <x:c r="B4" s="9" t="str">
        <x:v>作业书要求人工测试用例由小组成员自行设计和执行；本表的空白执行字段不能直接作为最终人工记录提交。</x:v>
      </x:c>
    </x:row>
    <x:row r="5" ht="32" customHeight="1">
      <x:c r="A5" s="8" t="str">
        <x:v>完成标准</x:v>
      </x:c>
      <x:c r="B5" s="9" t="str">
        <x:v>至少保留 30 条有效用例；每条补齐前置条件、步骤、输入、预期、实际、结果和证据路径。</x:v>
      </x:c>
    </x:row>
    <x:row r="6" ht="32" customHeight="1">
      <x:c r="A6" s="8" t="str">
        <x:v>方法要求</x:v>
      </x:c>
      <x:c r="B6" s="9" t="str">
        <x:v>至少使用等价类、边界值、场景法中的两类；本表已分配建议方法，成员可依据实际设计调整。</x:v>
      </x:c>
    </x:row>
    <x:row r="7" ht="32" customHeight="1">
      <x:c r="A7" s="8" t="str">
        <x:v>证据要求</x:v>
      </x:c>
      <x:c r="B7" s="9" t="str">
        <x:v>截图或录屏应包含页面/接口结果、账号或数据前置条件、执行时间，并与用例编号一致。</x:v>
      </x:c>
    </x:row>
    <x:row r="8" ht="32" customHeight="1">
      <x:c r="A8" s="8" t="str">
        <x:v>分工</x:v>
      </x:c>
      <x:c r="B8" s="9" t="str">
        <x:v>A：用户、登录、地址；B：商品、搜索、浏览历史；C：购物车、订单、库存。</x:v>
      </x:c>
    </x:row>
    <x:row r="9" ht="32" customHeight="1">
      <x:c r="A9" s="8" t="str">
        <x:v>状态填写</x:v>
      </x:c>
      <x:c r="B9" s="9" t="str">
        <x:v>未执行 / 通过 / 失败 / 阻塞；失败用例必须关联缺陷编号。</x:v>
      </x:c>
    </x:row>
    <x:row r="10" ht="32" customHeight="1">
      <x:c r="A10" s="8" t="str">
        <x:v>数据安全</x:v>
      </x:c>
      <x:c r="B10" s="9" t="str">
        <x:v>仅使用脱敏演示账号和 load_demo_data 生成的演示商品，不填写真实手机号、地址或密码。</x:v>
      </x:c>
    </x:row>
    <x:row r="12">
      <x:c r="A12" s="12" t="str">
        <x:v>当前自动化回归基线</x:v>
      </x:c>
      <x:c r="B12" s="9" t="str">
        <x:v>78 个测试全部通过（以仓库当前版本实际运行结果为准）</x:v>
      </x:c>
    </x:row>
    <x:row r="13">
      <x:c r="A13" s="12" t="str">
        <x:v>演示数据</x:v>
      </x:c>
      <x:c r="B13" s="9" t="str">
        <x:v>6 个分类、24 个商品，可运行 manage.py load_demo_data 幂等加载</x:v>
      </x:c>
    </x:row>
    <x:row r="14">
      <x:c r="A14" s="12" t="str">
        <x:v>组长复核</x:v>
      </x:c>
      <x:c r="B14" s="9" t="str">
        <x:v>合并前检查每位成员是否补齐自己的人工执行字段，并核对 Git 提交作者与用例负责人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5" hidden="0" customWidth="1"/>
    <x:col min="4" max="4" width="16" hidden="0" customWidth="1"/>
    <x:col min="5" max="5" width="12" hidden="0" customWidth="1"/>
    <x:col min="6" max="6" width="28" hidden="0" customWidth="1"/>
    <x:col min="7" max="7" width="30" hidden="0" customWidth="1"/>
    <x:col min="8" max="8" width="42" hidden="0" customWidth="1"/>
    <x:col min="9" max="9" width="24" hidden="0" customWidth="1"/>
    <x:col min="10" max="10" width="30" hidden="0" customWidth="1"/>
    <x:col min="11" max="11" width="30" hidden="0" customWidth="1"/>
    <x:col min="12" max="12" width="12" hidden="0" customWidth="1"/>
    <x:col min="13" max="13" width="28" hidden="0" customWidth="1"/>
    <x:col min="14" max="14" width="16" hidden="0" customWidth="1"/>
  </x:cols>
  <x:sheetData>
    <x:row r="1" ht="30" customHeight="1">
      <x:c r="A1" s="20" t="str">
        <x:v>用例编号</x:v>
      </x:c>
      <x:c r="B1" s="20" t="str">
        <x:v>负责人</x:v>
      </x:c>
      <x:c r="C1" s="20" t="str">
        <x:v>需求编号</x:v>
      </x:c>
      <x:c r="D1" s="20" t="str">
        <x:v>模块</x:v>
      </x:c>
      <x:c r="E1" s="20" t="str">
        <x:v>设计方法</x:v>
      </x:c>
      <x:c r="F1" s="20" t="str">
        <x:v>用例名称（成员可修改）</x:v>
      </x:c>
      <x:c r="G1" s="20" t="str">
        <x:v>前置条件（成员补写）</x:v>
      </x:c>
      <x:c r="H1" s="20" t="str">
        <x:v>测试步骤（成员补写）</x:v>
      </x:c>
      <x:c r="I1" s="20" t="str">
        <x:v>输入数据（成员补写）</x:v>
      </x:c>
      <x:c r="J1" s="20" t="str">
        <x:v>预期结果（成员补写）</x:v>
      </x:c>
      <x:c r="K1" s="20" t="str">
        <x:v>实际结果（成员执行）</x:v>
      </x:c>
      <x:c r="L1" s="20" t="str">
        <x:v>状态</x:v>
      </x:c>
      <x:c r="M1" s="20" t="str">
        <x:v>证据路径</x:v>
      </x:c>
      <x:c r="N1" s="20" t="str">
        <x:v>缺陷编号</x:v>
      </x:c>
    </x:row>
    <x:row r="2" ht="36" customHeight="1">
      <x:c r="A2" s="21" t="str">
        <x:v>A-USER-001</x:v>
      </x:c>
      <x:c r="B2" s="22" t="str">
        <x:v>A</x:v>
      </x:c>
      <x:c r="C2" s="23" t="str">
        <x:v>A-LOGIN-001</x:v>
      </x:c>
      <x:c r="D2" s="23" t="str">
        <x:v>用户/登录</x:v>
      </x:c>
      <x:c r="E2" s="23" t="str">
        <x:v>等价类</x:v>
      </x:c>
      <x:c r="F2" s="23" t="str">
        <x:v>合法账号密码登录</x:v>
      </x:c>
      <x:c r="G2" s="23" t="str"/>
      <x:c r="H2" s="23" t="str"/>
      <x:c r="I2" s="23" t="str"/>
      <x:c r="J2" s="23" t="str"/>
      <x:c r="K2" s="23" t="str"/>
      <x:c r="L2" s="22" t="str">
        <x:v>未执行</x:v>
      </x:c>
      <x:c r="M2" s="23" t="str"/>
      <x:c r="N2" s="23" t="str"/>
    </x:row>
    <x:row r="3" ht="36" customHeight="1">
      <x:c r="A3" s="21" t="str">
        <x:v>A-USER-002</x:v>
      </x:c>
      <x:c r="B3" s="22" t="str">
        <x:v>A</x:v>
      </x:c>
      <x:c r="C3" s="23" t="str">
        <x:v>A-LOGIN-002</x:v>
      </x:c>
      <x:c r="D3" s="23" t="str">
        <x:v>用户/登录</x:v>
      </x:c>
      <x:c r="E3" s="23" t="str">
        <x:v>等价类</x:v>
      </x:c>
      <x:c r="F3" s="23" t="str">
        <x:v>错误密码登录</x:v>
      </x:c>
      <x:c r="G3" s="23" t="str"/>
      <x:c r="H3" s="23" t="str"/>
      <x:c r="I3" s="23" t="str"/>
      <x:c r="J3" s="23" t="str"/>
      <x:c r="K3" s="23" t="str"/>
      <x:c r="L3" s="22" t="str">
        <x:v>未执行</x:v>
      </x:c>
      <x:c r="M3" s="23" t="str"/>
      <x:c r="N3" s="23" t="str"/>
    </x:row>
    <x:row r="4" ht="36" customHeight="1">
      <x:c r="A4" s="21" t="str">
        <x:v>A-USER-003</x:v>
      </x:c>
      <x:c r="B4" s="22" t="str">
        <x:v>A</x:v>
      </x:c>
      <x:c r="C4" s="23" t="str">
        <x:v>A-LOGIN-003</x:v>
      </x:c>
      <x:c r="D4" s="23" t="str">
        <x:v>用户/登录</x:v>
      </x:c>
      <x:c r="E4" s="23" t="str">
        <x:v>边界值</x:v>
      </x:c>
      <x:c r="F4" s="23" t="str">
        <x:v>账号为空提交登录</x:v>
      </x:c>
      <x:c r="G4" s="23" t="str"/>
      <x:c r="H4" s="23" t="str"/>
      <x:c r="I4" s="23" t="str"/>
      <x:c r="J4" s="23" t="str"/>
      <x:c r="K4" s="23" t="str"/>
      <x:c r="L4" s="22" t="str">
        <x:v>未执行</x:v>
      </x:c>
      <x:c r="M4" s="23" t="str"/>
      <x:c r="N4" s="23" t="str"/>
    </x:row>
    <x:row r="5" ht="36" customHeight="1">
      <x:c r="A5" s="21" t="str">
        <x:v>A-USER-004</x:v>
      </x:c>
      <x:c r="B5" s="22" t="str">
        <x:v>A</x:v>
      </x:c>
      <x:c r="C5" s="23" t="str">
        <x:v>A-LOGIN-004</x:v>
      </x:c>
      <x:c r="D5" s="23" t="str">
        <x:v>用户/登录</x:v>
      </x:c>
      <x:c r="E5" s="23" t="str">
        <x:v>边界值</x:v>
      </x:c>
      <x:c r="F5" s="23" t="str">
        <x:v>密码为空提交登录</x:v>
      </x:c>
      <x:c r="G5" s="23" t="str"/>
      <x:c r="H5" s="23" t="str"/>
      <x:c r="I5" s="23" t="str"/>
      <x:c r="J5" s="23" t="str"/>
      <x:c r="K5" s="23" t="str"/>
      <x:c r="L5" s="22" t="str">
        <x:v>未执行</x:v>
      </x:c>
      <x:c r="M5" s="23" t="str"/>
      <x:c r="N5" s="23" t="str"/>
    </x:row>
    <x:row r="6" ht="36" customHeight="1">
      <x:c r="A6" s="21" t="str">
        <x:v>A-USER-005</x:v>
      </x:c>
      <x:c r="B6" s="22" t="str">
        <x:v>A</x:v>
      </x:c>
      <x:c r="C6" s="23" t="str">
        <x:v>A-LOGIN-005</x:v>
      </x:c>
      <x:c r="D6" s="23" t="str">
        <x:v>用户/登录</x:v>
      </x:c>
      <x:c r="E6" s="23" t="str">
        <x:v>场景法</x:v>
      </x:c>
      <x:c r="F6" s="23" t="str">
        <x:v>登录后刷新页面会话保持</x:v>
      </x:c>
      <x:c r="G6" s="23" t="str"/>
      <x:c r="H6" s="23" t="str"/>
      <x:c r="I6" s="23" t="str"/>
      <x:c r="J6" s="23" t="str"/>
      <x:c r="K6" s="23" t="str"/>
      <x:c r="L6" s="22" t="str">
        <x:v>未执行</x:v>
      </x:c>
      <x:c r="M6" s="23" t="str"/>
      <x:c r="N6" s="23" t="str"/>
    </x:row>
    <x:row r="7" ht="36" customHeight="1">
      <x:c r="A7" s="21" t="str">
        <x:v>A-USER-006</x:v>
      </x:c>
      <x:c r="B7" s="22" t="str">
        <x:v>A</x:v>
      </x:c>
      <x:c r="C7" s="23" t="str">
        <x:v>A-LOGIN-006</x:v>
      </x:c>
      <x:c r="D7" s="23" t="str">
        <x:v>用户/登录</x:v>
      </x:c>
      <x:c r="E7" s="23" t="str">
        <x:v>场景法</x:v>
      </x:c>
      <x:c r="F7" s="23" t="str">
        <x:v>退出后访问受保护页面</x:v>
      </x:c>
      <x:c r="G7" s="23" t="str"/>
      <x:c r="H7" s="23" t="str"/>
      <x:c r="I7" s="23" t="str"/>
      <x:c r="J7" s="23" t="str"/>
      <x:c r="K7" s="23" t="str"/>
      <x:c r="L7" s="22" t="str">
        <x:v>未执行</x:v>
      </x:c>
      <x:c r="M7" s="23" t="str"/>
      <x:c r="N7" s="23" t="str"/>
    </x:row>
    <x:row r="8" ht="36" customHeight="1">
      <x:c r="A8" s="21" t="str">
        <x:v>A-USER-007</x:v>
      </x:c>
      <x:c r="B8" s="22" t="str">
        <x:v>A</x:v>
      </x:c>
      <x:c r="C8" s="23" t="str">
        <x:v>A-REG-001</x:v>
      </x:c>
      <x:c r="D8" s="23" t="str">
        <x:v>用户/注册</x:v>
      </x:c>
      <x:c r="E8" s="23" t="str">
        <x:v>等价类</x:v>
      </x:c>
      <x:c r="F8" s="23" t="str">
        <x:v>合法新用户注册</x:v>
      </x:c>
      <x:c r="G8" s="23" t="str"/>
      <x:c r="H8" s="23" t="str"/>
      <x:c r="I8" s="23" t="str"/>
      <x:c r="J8" s="23" t="str"/>
      <x:c r="K8" s="23" t="str"/>
      <x:c r="L8" s="22" t="str">
        <x:v>未执行</x:v>
      </x:c>
      <x:c r="M8" s="23" t="str"/>
      <x:c r="N8" s="23" t="str"/>
    </x:row>
    <x:row r="9" ht="36" customHeight="1">
      <x:c r="A9" s="21" t="str">
        <x:v>A-USER-008</x:v>
      </x:c>
      <x:c r="B9" s="22" t="str">
        <x:v>A</x:v>
      </x:c>
      <x:c r="C9" s="23" t="str">
        <x:v>A-REG-002</x:v>
      </x:c>
      <x:c r="D9" s="23" t="str">
        <x:v>用户/注册</x:v>
      </x:c>
      <x:c r="E9" s="23" t="str">
        <x:v>等价类</x:v>
      </x:c>
      <x:c r="F9" s="23" t="str">
        <x:v>重复用户名注册</x:v>
      </x:c>
      <x:c r="G9" s="23" t="str"/>
      <x:c r="H9" s="23" t="str"/>
      <x:c r="I9" s="23" t="str"/>
      <x:c r="J9" s="23" t="str"/>
      <x:c r="K9" s="23" t="str"/>
      <x:c r="L9" s="22" t="str">
        <x:v>未执行</x:v>
      </x:c>
      <x:c r="M9" s="23" t="str"/>
      <x:c r="N9" s="23" t="str"/>
    </x:row>
    <x:row r="10" ht="36" customHeight="1">
      <x:c r="A10" s="21" t="str">
        <x:v>A-USER-009</x:v>
      </x:c>
      <x:c r="B10" s="22" t="str">
        <x:v>A</x:v>
      </x:c>
      <x:c r="C10" s="23" t="str">
        <x:v>A-REG-003</x:v>
      </x:c>
      <x:c r="D10" s="23" t="str">
        <x:v>用户/注册</x:v>
      </x:c>
      <x:c r="E10" s="23" t="str">
        <x:v>边界值</x:v>
      </x:c>
      <x:c r="F10" s="23" t="str">
        <x:v>注册密码长度边界</x:v>
      </x:c>
      <x:c r="G10" s="23" t="str"/>
      <x:c r="H10" s="23" t="str"/>
      <x:c r="I10" s="23" t="str"/>
      <x:c r="J10" s="23" t="str"/>
      <x:c r="K10" s="23" t="str"/>
      <x:c r="L10" s="22" t="str">
        <x:v>未执行</x:v>
      </x:c>
      <x:c r="M10" s="23" t="str"/>
      <x:c r="N10" s="23" t="str"/>
    </x:row>
    <x:row r="11" ht="36" customHeight="1">
      <x:c r="A11" s="21" t="str">
        <x:v>A-USER-010</x:v>
      </x:c>
      <x:c r="B11" s="22" t="str">
        <x:v>A</x:v>
      </x:c>
      <x:c r="C11" s="23" t="str">
        <x:v>A-USER-001</x:v>
      </x:c>
      <x:c r="D11" s="23" t="str">
        <x:v>用户中心</x:v>
      </x:c>
      <x:c r="E11" s="23" t="str">
        <x:v>场景法</x:v>
      </x:c>
      <x:c r="F11" s="23" t="str">
        <x:v>用户中心展示当前用户信息</x:v>
      </x:c>
      <x:c r="G11" s="23" t="str"/>
      <x:c r="H11" s="23" t="str"/>
      <x:c r="I11" s="23" t="str"/>
      <x:c r="J11" s="23" t="str"/>
      <x:c r="K11" s="23" t="str"/>
      <x:c r="L11" s="22" t="str">
        <x:v>未执行</x:v>
      </x:c>
      <x:c r="M11" s="23" t="str"/>
      <x:c r="N11" s="23" t="str"/>
    </x:row>
    <x:row r="12" ht="36" customHeight="1">
      <x:c r="A12" s="21" t="str">
        <x:v>A-USER-011</x:v>
      </x:c>
      <x:c r="B12" s="22" t="str">
        <x:v>A</x:v>
      </x:c>
      <x:c r="C12" s="23" t="str">
        <x:v>A-ADDR-001</x:v>
      </x:c>
      <x:c r="D12" s="23" t="str">
        <x:v>收货地址</x:v>
      </x:c>
      <x:c r="E12" s="23" t="str">
        <x:v>等价类</x:v>
      </x:c>
      <x:c r="F12" s="23" t="str">
        <x:v>新增完整收货地址</x:v>
      </x:c>
      <x:c r="G12" s="23" t="str"/>
      <x:c r="H12" s="23" t="str"/>
      <x:c r="I12" s="23" t="str"/>
      <x:c r="J12" s="23" t="str"/>
      <x:c r="K12" s="23" t="str"/>
      <x:c r="L12" s="22" t="str">
        <x:v>未执行</x:v>
      </x:c>
      <x:c r="M12" s="23" t="str"/>
      <x:c r="N12" s="23" t="str"/>
    </x:row>
    <x:row r="13" ht="36" customHeight="1">
      <x:c r="A13" s="21" t="str">
        <x:v>A-USER-012</x:v>
      </x:c>
      <x:c r="B13" s="22" t="str">
        <x:v>A</x:v>
      </x:c>
      <x:c r="C13" s="23" t="str">
        <x:v>A-ADDR-002</x:v>
      </x:c>
      <x:c r="D13" s="23" t="str">
        <x:v>收货地址</x:v>
      </x:c>
      <x:c r="E13" s="23" t="str">
        <x:v>边界值</x:v>
      </x:c>
      <x:c r="F13" s="23" t="str">
        <x:v>地址必填字段为空</x:v>
      </x:c>
      <x:c r="G13" s="23" t="str"/>
      <x:c r="H13" s="23" t="str"/>
      <x:c r="I13" s="23" t="str"/>
      <x:c r="J13" s="23" t="str"/>
      <x:c r="K13" s="23" t="str"/>
      <x:c r="L13" s="22" t="str">
        <x:v>未执行</x:v>
      </x:c>
      <x:c r="M13" s="23" t="str"/>
      <x:c r="N13" s="23" t="str"/>
    </x:row>
    <x:row r="14" ht="36" customHeight="1">
      <x:c r="A14" s="21" t="str">
        <x:v>B-GOODS-001</x:v>
      </x:c>
      <x:c r="B14" s="22" t="str">
        <x:v>B</x:v>
      </x:c>
      <x:c r="C14" s="23" t="str">
        <x:v>B-GOODS-001</x:v>
      </x:c>
      <x:c r="D14" s="23" t="str">
        <x:v>商品浏览</x:v>
      </x:c>
      <x:c r="E14" s="23" t="str">
        <x:v>等价类</x:v>
      </x:c>
      <x:c r="F14" s="23" t="str">
        <x:v>首页按分类展示商品</x:v>
      </x:c>
      <x:c r="G14" s="23" t="str"/>
      <x:c r="H14" s="23" t="str"/>
      <x:c r="I14" s="23" t="str"/>
      <x:c r="J14" s="23" t="str"/>
      <x:c r="K14" s="23" t="str"/>
      <x:c r="L14" s="22" t="str">
        <x:v>未执行</x:v>
      </x:c>
      <x:c r="M14" s="23" t="str"/>
      <x:c r="N14" s="23" t="str"/>
    </x:row>
    <x:row r="15" ht="36" customHeight="1">
      <x:c r="A15" s="21" t="str">
        <x:v>B-GOODS-002</x:v>
      </x:c>
      <x:c r="B15" s="22" t="str">
        <x:v>B</x:v>
      </x:c>
      <x:c r="C15" s="23" t="str">
        <x:v>B-GOODS-002</x:v>
      </x:c>
      <x:c r="D15" s="23" t="str">
        <x:v>商品浏览</x:v>
      </x:c>
      <x:c r="E15" s="23" t="str">
        <x:v>场景法</x:v>
      </x:c>
      <x:c r="F15" s="23" t="str">
        <x:v>商品详情展示价格库存和图片</x:v>
      </x:c>
      <x:c r="G15" s="23" t="str"/>
      <x:c r="H15" s="23" t="str"/>
      <x:c r="I15" s="23" t="str"/>
      <x:c r="J15" s="23" t="str"/>
      <x:c r="K15" s="23" t="str"/>
      <x:c r="L15" s="22" t="str">
        <x:v>未执行</x:v>
      </x:c>
      <x:c r="M15" s="23" t="str"/>
      <x:c r="N15" s="23" t="str"/>
    </x:row>
    <x:row r="16" ht="36" customHeight="1">
      <x:c r="A16" s="21" t="str">
        <x:v>B-GOODS-003</x:v>
      </x:c>
      <x:c r="B16" s="22" t="str">
        <x:v>B</x:v>
      </x:c>
      <x:c r="C16" s="23" t="str">
        <x:v>B-GOODS-003</x:v>
      </x:c>
      <x:c r="D16" s="23" t="str">
        <x:v>商品浏览</x:v>
      </x:c>
      <x:c r="E16" s="23" t="str">
        <x:v>边界值</x:v>
      </x:c>
      <x:c r="F16" s="23" t="str">
        <x:v>商品库存为零时详情状态</x:v>
      </x:c>
      <x:c r="G16" s="23" t="str"/>
      <x:c r="H16" s="23" t="str"/>
      <x:c r="I16" s="23" t="str"/>
      <x:c r="J16" s="23" t="str"/>
      <x:c r="K16" s="23" t="str"/>
      <x:c r="L16" s="22" t="str">
        <x:v>未执行</x:v>
      </x:c>
      <x:c r="M16" s="23" t="str"/>
      <x:c r="N16" s="23" t="str"/>
    </x:row>
    <x:row r="17" ht="36" customHeight="1">
      <x:c r="A17" s="21" t="str">
        <x:v>B-GOODS-004</x:v>
      </x:c>
      <x:c r="B17" s="22" t="str">
        <x:v>B</x:v>
      </x:c>
      <x:c r="C17" s="23" t="str">
        <x:v>B-GOODS-004</x:v>
      </x:c>
      <x:c r="D17" s="23" t="str">
        <x:v>商品浏览</x:v>
      </x:c>
      <x:c r="E17" s="23" t="str">
        <x:v>等价类</x:v>
      </x:c>
      <x:c r="F17" s="23" t="str">
        <x:v>逻辑删除商品不出现在列表</x:v>
      </x:c>
      <x:c r="G17" s="23" t="str"/>
      <x:c r="H17" s="23" t="str"/>
      <x:c r="I17" s="23" t="str"/>
      <x:c r="J17" s="23" t="str"/>
      <x:c r="K17" s="23" t="str"/>
      <x:c r="L17" s="22" t="str">
        <x:v>未执行</x:v>
      </x:c>
      <x:c r="M17" s="23" t="str"/>
      <x:c r="N17" s="23" t="str"/>
    </x:row>
    <x:row r="18" ht="36" customHeight="1">
      <x:c r="A18" s="21" t="str">
        <x:v>B-GOODS-005</x:v>
      </x:c>
      <x:c r="B18" s="22" t="str">
        <x:v>B</x:v>
      </x:c>
      <x:c r="C18" s="23" t="str">
        <x:v>B-SEARCH-001</x:v>
      </x:c>
      <x:c r="D18" s="23" t="str">
        <x:v>搜索</x:v>
      </x:c>
      <x:c r="E18" s="23" t="str">
        <x:v>等价类</x:v>
      </x:c>
      <x:c r="F18" s="23" t="str">
        <x:v>按完整关键词搜索商品</x:v>
      </x:c>
      <x:c r="G18" s="23" t="str"/>
      <x:c r="H18" s="23" t="str"/>
      <x:c r="I18" s="23" t="str"/>
      <x:c r="J18" s="23" t="str"/>
      <x:c r="K18" s="23" t="str"/>
      <x:c r="L18" s="22" t="str">
        <x:v>未执行</x:v>
      </x:c>
      <x:c r="M18" s="23" t="str"/>
      <x:c r="N18" s="23" t="str"/>
    </x:row>
    <x:row r="19" ht="36" customHeight="1">
      <x:c r="A19" s="21" t="str">
        <x:v>B-GOODS-006</x:v>
      </x:c>
      <x:c r="B19" s="22" t="str">
        <x:v>B</x:v>
      </x:c>
      <x:c r="C19" s="23" t="str">
        <x:v>B-SEARCH-002</x:v>
      </x:c>
      <x:c r="D19" s="23" t="str">
        <x:v>搜索</x:v>
      </x:c>
      <x:c r="E19" s="23" t="str">
        <x:v>等价类</x:v>
      </x:c>
      <x:c r="F19" s="23" t="str">
        <x:v>按部分关键词搜索商品</x:v>
      </x:c>
      <x:c r="G19" s="23" t="str"/>
      <x:c r="H19" s="23" t="str"/>
      <x:c r="I19" s="23" t="str"/>
      <x:c r="J19" s="23" t="str"/>
      <x:c r="K19" s="23" t="str"/>
      <x:c r="L19" s="22" t="str">
        <x:v>未执行</x:v>
      </x:c>
      <x:c r="M19" s="23" t="str"/>
      <x:c r="N19" s="23" t="str"/>
    </x:row>
    <x:row r="20" ht="36" customHeight="1">
      <x:c r="A20" s="21" t="str">
        <x:v>B-GOODS-007</x:v>
      </x:c>
      <x:c r="B20" s="22" t="str">
        <x:v>B</x:v>
      </x:c>
      <x:c r="C20" s="23" t="str">
        <x:v>B-SEARCH-003</x:v>
      </x:c>
      <x:c r="D20" s="23" t="str">
        <x:v>搜索</x:v>
      </x:c>
      <x:c r="E20" s="23" t="str">
        <x:v>边界值</x:v>
      </x:c>
      <x:c r="F20" s="23" t="str">
        <x:v>空关键词搜索</x:v>
      </x:c>
      <x:c r="G20" s="23" t="str"/>
      <x:c r="H20" s="23" t="str"/>
      <x:c r="I20" s="23" t="str"/>
      <x:c r="J20" s="23" t="str"/>
      <x:c r="K20" s="23" t="str"/>
      <x:c r="L20" s="22" t="str">
        <x:v>未执行</x:v>
      </x:c>
      <x:c r="M20" s="23" t="str"/>
      <x:c r="N20" s="23" t="str"/>
    </x:row>
    <x:row r="21" ht="36" customHeight="1">
      <x:c r="A21" s="21" t="str">
        <x:v>B-GOODS-008</x:v>
      </x:c>
      <x:c r="B21" s="22" t="str">
        <x:v>B</x:v>
      </x:c>
      <x:c r="C21" s="23" t="str">
        <x:v>B-SEARCH-004</x:v>
      </x:c>
      <x:c r="D21" s="23" t="str">
        <x:v>搜索</x:v>
      </x:c>
      <x:c r="E21" s="23" t="str">
        <x:v>边界值</x:v>
      </x:c>
      <x:c r="F21" s="23" t="str">
        <x:v>超长关键词搜索</x:v>
      </x:c>
      <x:c r="G21" s="23" t="str"/>
      <x:c r="H21" s="23" t="str"/>
      <x:c r="I21" s="23" t="str"/>
      <x:c r="J21" s="23" t="str"/>
      <x:c r="K21" s="23" t="str"/>
      <x:c r="L21" s="22" t="str">
        <x:v>未执行</x:v>
      </x:c>
      <x:c r="M21" s="23" t="str"/>
      <x:c r="N21" s="23" t="str"/>
    </x:row>
    <x:row r="22" ht="36" customHeight="1">
      <x:c r="A22" s="21" t="str">
        <x:v>B-GOODS-009</x:v>
      </x:c>
      <x:c r="B22" s="22" t="str">
        <x:v>B</x:v>
      </x:c>
      <x:c r="C22" s="23" t="str">
        <x:v>B-HISTORY-001</x:v>
      </x:c>
      <x:c r="D22" s="23" t="str">
        <x:v>浏览历史</x:v>
      </x:c>
      <x:c r="E22" s="23" t="str">
        <x:v>场景法</x:v>
      </x:c>
      <x:c r="F22" s="23" t="str">
        <x:v>登录用户浏览商品后记录历史</x:v>
      </x:c>
      <x:c r="G22" s="23" t="str"/>
      <x:c r="H22" s="23" t="str"/>
      <x:c r="I22" s="23" t="str"/>
      <x:c r="J22" s="23" t="str"/>
      <x:c r="K22" s="23" t="str"/>
      <x:c r="L22" s="22" t="str">
        <x:v>未执行</x:v>
      </x:c>
      <x:c r="M22" s="23" t="str"/>
      <x:c r="N22" s="23" t="str"/>
    </x:row>
    <x:row r="23" ht="36" customHeight="1">
      <x:c r="A23" s="21" t="str">
        <x:v>B-GOODS-010</x:v>
      </x:c>
      <x:c r="B23" s="22" t="str">
        <x:v>B</x:v>
      </x:c>
      <x:c r="C23" s="23" t="str">
        <x:v>B-HISTORY-002</x:v>
      </x:c>
      <x:c r="D23" s="23" t="str">
        <x:v>浏览历史</x:v>
      </x:c>
      <x:c r="E23" s="23" t="str">
        <x:v>场景法</x:v>
      </x:c>
      <x:c r="F23" s="23" t="str">
        <x:v>重复浏览同一商品历史去重或更新</x:v>
      </x:c>
      <x:c r="G23" s="23" t="str"/>
      <x:c r="H23" s="23" t="str"/>
      <x:c r="I23" s="23" t="str"/>
      <x:c r="J23" s="23" t="str"/>
      <x:c r="K23" s="23" t="str"/>
      <x:c r="L23" s="22" t="str">
        <x:v>未执行</x:v>
      </x:c>
      <x:c r="M23" s="23" t="str"/>
      <x:c r="N23" s="23" t="str"/>
    </x:row>
    <x:row r="24" ht="36" customHeight="1">
      <x:c r="A24" s="21" t="str">
        <x:v>B-GOODS-011</x:v>
      </x:c>
      <x:c r="B24" s="22" t="str">
        <x:v>B</x:v>
      </x:c>
      <x:c r="C24" s="23" t="str">
        <x:v>B-HISTORY-003</x:v>
      </x:c>
      <x:c r="D24" s="23" t="str">
        <x:v>浏览历史</x:v>
      </x:c>
      <x:c r="E24" s="23" t="str">
        <x:v>等价类</x:v>
      </x:c>
      <x:c r="F24" s="23" t="str">
        <x:v>未登录用户访问历史页</x:v>
      </x:c>
      <x:c r="G24" s="23" t="str"/>
      <x:c r="H24" s="23" t="str"/>
      <x:c r="I24" s="23" t="str"/>
      <x:c r="J24" s="23" t="str"/>
      <x:c r="K24" s="23" t="str"/>
      <x:c r="L24" s="22" t="str">
        <x:v>未执行</x:v>
      </x:c>
      <x:c r="M24" s="23" t="str"/>
      <x:c r="N24" s="23" t="str"/>
    </x:row>
    <x:row r="25" ht="36" customHeight="1">
      <x:c r="A25" s="21" t="str">
        <x:v>B-GOODS-012</x:v>
      </x:c>
      <x:c r="B25" s="22" t="str">
        <x:v>B</x:v>
      </x:c>
      <x:c r="C25" s="23" t="str">
        <x:v>B-GOODS-002</x:v>
      </x:c>
      <x:c r="D25" s="23" t="str">
        <x:v>商品浏览</x:v>
      </x:c>
      <x:c r="E25" s="23" t="str">
        <x:v>边界值</x:v>
      </x:c>
      <x:c r="F25" s="23" t="str">
        <x:v>无效商品编号访问详情</x:v>
      </x:c>
      <x:c r="G25" s="23" t="str"/>
      <x:c r="H25" s="23" t="str"/>
      <x:c r="I25" s="23" t="str"/>
      <x:c r="J25" s="23" t="str"/>
      <x:c r="K25" s="23" t="str"/>
      <x:c r="L25" s="22" t="str">
        <x:v>未执行</x:v>
      </x:c>
      <x:c r="M25" s="23" t="str"/>
      <x:c r="N25" s="23" t="str"/>
    </x:row>
    <x:row r="26" ht="36" customHeight="1">
      <x:c r="A26" s="21" t="str">
        <x:v>C-CART-001</x:v>
      </x:c>
      <x:c r="B26" s="22" t="str">
        <x:v>C</x:v>
      </x:c>
      <x:c r="C26" s="23" t="str">
        <x:v>C-CART-001</x:v>
      </x:c>
      <x:c r="D26" s="23" t="str">
        <x:v>购物车</x:v>
      </x:c>
      <x:c r="E26" s="23" t="str">
        <x:v>场景法</x:v>
      </x:c>
      <x:c r="F26" s="23" t="str">
        <x:v>登录用户加入商品并查看购物车</x:v>
      </x:c>
      <x:c r="G26" s="23" t="str"/>
      <x:c r="H26" s="23" t="str"/>
      <x:c r="I26" s="23" t="str"/>
      <x:c r="J26" s="23" t="str"/>
      <x:c r="K26" s="23" t="str"/>
      <x:c r="L26" s="22" t="str">
        <x:v>未执行</x:v>
      </x:c>
      <x:c r="M26" s="23" t="str"/>
      <x:c r="N26" s="23" t="str"/>
    </x:row>
    <x:row r="27" ht="36" customHeight="1">
      <x:c r="A27" s="21" t="str">
        <x:v>C-CART-002</x:v>
      </x:c>
      <x:c r="B27" s="22" t="str">
        <x:v>C</x:v>
      </x:c>
      <x:c r="C27" s="23" t="str">
        <x:v>C-CART-002</x:v>
      </x:c>
      <x:c r="D27" s="23" t="str">
        <x:v>购物车</x:v>
      </x:c>
      <x:c r="E27" s="23" t="str">
        <x:v>边界值</x:v>
      </x:c>
      <x:c r="F27" s="23" t="str">
        <x:v>加入数量为零或负数</x:v>
      </x:c>
      <x:c r="G27" s="23" t="str"/>
      <x:c r="H27" s="23" t="str"/>
      <x:c r="I27" s="23" t="str"/>
      <x:c r="J27" s="23" t="str"/>
      <x:c r="K27" s="23" t="str"/>
      <x:c r="L27" s="22" t="str">
        <x:v>未执行</x:v>
      </x:c>
      <x:c r="M27" s="23" t="str"/>
      <x:c r="N27" s="23" t="str"/>
    </x:row>
    <x:row r="28" ht="36" customHeight="1">
      <x:c r="A28" s="21" t="str">
        <x:v>C-CART-003</x:v>
      </x:c>
      <x:c r="B28" s="22" t="str">
        <x:v>C</x:v>
      </x:c>
      <x:c r="C28" s="23" t="str">
        <x:v>C-CART-004</x:v>
      </x:c>
      <x:c r="D28" s="23" t="str">
        <x:v>购物车</x:v>
      </x:c>
      <x:c r="E28" s="23" t="str">
        <x:v>边界值</x:v>
      </x:c>
      <x:c r="F28" s="23" t="str">
        <x:v>加入数量超过库存</x:v>
      </x:c>
      <x:c r="G28" s="23" t="str"/>
      <x:c r="H28" s="23" t="str"/>
      <x:c r="I28" s="23" t="str"/>
      <x:c r="J28" s="23" t="str"/>
      <x:c r="K28" s="23" t="str"/>
      <x:c r="L28" s="22" t="str">
        <x:v>未执行</x:v>
      </x:c>
      <x:c r="M28" s="23" t="str"/>
      <x:c r="N28" s="23" t="str"/>
    </x:row>
    <x:row r="29" ht="36" customHeight="1">
      <x:c r="A29" s="21" t="str">
        <x:v>C-CART-004</x:v>
      </x:c>
      <x:c r="B29" s="22" t="str">
        <x:v>C</x:v>
      </x:c>
      <x:c r="C29" s="23" t="str">
        <x:v>C-CART-006</x:v>
      </x:c>
      <x:c r="D29" s="23" t="str">
        <x:v>购物车</x:v>
      </x:c>
      <x:c r="E29" s="23" t="str">
        <x:v>场景法</x:v>
      </x:c>
      <x:c r="F29" s="23" t="str">
        <x:v>修改购物车数量并重新计算小计</x:v>
      </x:c>
      <x:c r="G29" s="23" t="str"/>
      <x:c r="H29" s="23" t="str"/>
      <x:c r="I29" s="23" t="str"/>
      <x:c r="J29" s="23" t="str"/>
      <x:c r="K29" s="23" t="str"/>
      <x:c r="L29" s="22" t="str">
        <x:v>未执行</x:v>
      </x:c>
      <x:c r="M29" s="23" t="str"/>
      <x:c r="N29" s="23" t="str"/>
    </x:row>
    <x:row r="30" ht="36" customHeight="1">
      <x:c r="A30" s="21" t="str">
        <x:v>C-CART-005</x:v>
      </x:c>
      <x:c r="B30" s="22" t="str">
        <x:v>C</x:v>
      </x:c>
      <x:c r="C30" s="23" t="str">
        <x:v>C-CART-008</x:v>
      </x:c>
      <x:c r="D30" s="23" t="str">
        <x:v>购物车</x:v>
      </x:c>
      <x:c r="E30" s="23" t="str">
        <x:v>等价类</x:v>
      </x:c>
      <x:c r="F30" s="23" t="str">
        <x:v>删除自己的购物车条目</x:v>
      </x:c>
      <x:c r="G30" s="23" t="str"/>
      <x:c r="H30" s="23" t="str"/>
      <x:c r="I30" s="23" t="str"/>
      <x:c r="J30" s="23" t="str"/>
      <x:c r="K30" s="23" t="str"/>
      <x:c r="L30" s="22" t="str">
        <x:v>未执行</x:v>
      </x:c>
      <x:c r="M30" s="23" t="str"/>
      <x:c r="N30" s="23" t="str"/>
    </x:row>
    <x:row r="31" ht="36" customHeight="1">
      <x:c r="A31" s="21" t="str">
        <x:v>C-CART-006</x:v>
      </x:c>
      <x:c r="B31" s="22" t="str">
        <x:v>C</x:v>
      </x:c>
      <x:c r="C31" s="23" t="str">
        <x:v>C-CART-009</x:v>
      </x:c>
      <x:c r="D31" s="23" t="str">
        <x:v>购物车</x:v>
      </x:c>
      <x:c r="E31" s="23" t="str">
        <x:v>等价类</x:v>
      </x:c>
      <x:c r="F31" s="23" t="str">
        <x:v>用户不能修改他人购物车条目</x:v>
      </x:c>
      <x:c r="G31" s="23" t="str"/>
      <x:c r="H31" s="23" t="str"/>
      <x:c r="I31" s="23" t="str"/>
      <x:c r="J31" s="23" t="str"/>
      <x:c r="K31" s="23" t="str"/>
      <x:c r="L31" s="22" t="str">
        <x:v>未执行</x:v>
      </x:c>
      <x:c r="M31" s="23" t="str"/>
      <x:c r="N31" s="23" t="str"/>
    </x:row>
    <x:row r="32" ht="36" customHeight="1">
      <x:c r="A32" s="21" t="str">
        <x:v>C-ORD-001</x:v>
      </x:c>
      <x:c r="B32" s="22" t="str">
        <x:v>C</x:v>
      </x:c>
      <x:c r="C32" s="23" t="str">
        <x:v>C-ORD-001</x:v>
      </x:c>
      <x:c r="D32" s="23" t="str">
        <x:v>订单</x:v>
      </x:c>
      <x:c r="E32" s="23" t="str">
        <x:v>场景法</x:v>
      </x:c>
      <x:c r="F32" s="23" t="str">
        <x:v>从购物车提交订单</x:v>
      </x:c>
      <x:c r="G32" s="23" t="str"/>
      <x:c r="H32" s="23" t="str"/>
      <x:c r="I32" s="23" t="str"/>
      <x:c r="J32" s="23" t="str"/>
      <x:c r="K32" s="23" t="str"/>
      <x:c r="L32" s="22" t="str">
        <x:v>未执行</x:v>
      </x:c>
      <x:c r="M32" s="23" t="str"/>
      <x:c r="N32" s="23" t="str"/>
    </x:row>
    <x:row r="33" ht="36" customHeight="1">
      <x:c r="A33" s="21" t="str">
        <x:v>C-ORD-002</x:v>
      </x:c>
      <x:c r="B33" s="22" t="str">
        <x:v>C</x:v>
      </x:c>
      <x:c r="C33" s="23" t="str">
        <x:v>C-ORD-003</x:v>
      </x:c>
      <x:c r="D33" s="23" t="str">
        <x:v>订单</x:v>
      </x:c>
      <x:c r="E33" s="23" t="str">
        <x:v>等价类</x:v>
      </x:c>
      <x:c r="F33" s="23" t="str">
        <x:v>无收货地址提交订单</x:v>
      </x:c>
      <x:c r="G33" s="23" t="str"/>
      <x:c r="H33" s="23" t="str"/>
      <x:c r="I33" s="23" t="str"/>
      <x:c r="J33" s="23" t="str"/>
      <x:c r="K33" s="23" t="str"/>
      <x:c r="L33" s="22" t="str">
        <x:v>未执行</x:v>
      </x:c>
      <x:c r="M33" s="23" t="str"/>
      <x:c r="N33" s="23" t="str"/>
    </x:row>
    <x:row r="34" ht="36" customHeight="1">
      <x:c r="A34" s="21" t="str">
        <x:v>C-ORD-003</x:v>
      </x:c>
      <x:c r="B34" s="22" t="str">
        <x:v>C</x:v>
      </x:c>
      <x:c r="C34" s="23" t="str">
        <x:v>C-ORD-005</x:v>
      </x:c>
      <x:c r="D34" s="23" t="str">
        <x:v>订单</x:v>
      </x:c>
      <x:c r="E34" s="23" t="str">
        <x:v>边界值</x:v>
      </x:c>
      <x:c r="F34" s="23" t="str">
        <x:v>篡改前端总额后提交订单</x:v>
      </x:c>
      <x:c r="G34" s="23" t="str"/>
      <x:c r="H34" s="23" t="str"/>
      <x:c r="I34" s="23" t="str"/>
      <x:c r="J34" s="23" t="str"/>
      <x:c r="K34" s="23" t="str"/>
      <x:c r="L34" s="22" t="str">
        <x:v>未执行</x:v>
      </x:c>
      <x:c r="M34" s="23" t="str"/>
      <x:c r="N34" s="23" t="str"/>
    </x:row>
    <x:row r="35" ht="36" customHeight="1">
      <x:c r="A35" s="21" t="str">
        <x:v>C-ORD-004</x:v>
      </x:c>
      <x:c r="B35" s="22" t="str">
        <x:v>C</x:v>
      </x:c>
      <x:c r="C35" s="23" t="str">
        <x:v>C-INV-004</x:v>
      </x:c>
      <x:c r="D35" s="23" t="str">
        <x:v>库存</x:v>
      </x:c>
      <x:c r="E35" s="23" t="str">
        <x:v>场景法</x:v>
      </x:c>
      <x:c r="F35" s="23" t="str">
        <x:v>库存不足时下单回滚</x:v>
      </x:c>
      <x:c r="G35" s="23" t="str"/>
      <x:c r="H35" s="23" t="str"/>
      <x:c r="I35" s="23" t="str"/>
      <x:c r="J35" s="23" t="str"/>
      <x:c r="K35" s="23" t="str"/>
      <x:c r="L35" s="22" t="str">
        <x:v>未执行</x:v>
      </x:c>
      <x:c r="M35" s="23" t="str"/>
      <x:c r="N35" s="23" t="str"/>
    </x:row>
    <x:row r="36" ht="36" customHeight="1">
      <x:c r="A36" s="21" t="str">
        <x:v>C-ORD-005</x:v>
      </x:c>
      <x:c r="B36" s="22" t="str">
        <x:v>C</x:v>
      </x:c>
      <x:c r="C36" s="23" t="str">
        <x:v>C-ORD-006</x:v>
      </x:c>
      <x:c r="D36" s="23" t="str">
        <x:v>订单</x:v>
      </x:c>
      <x:c r="E36" s="23" t="str">
        <x:v>场景法</x:v>
      </x:c>
      <x:c r="F36" s="23" t="str">
        <x:v>连续创建两笔订单编号唯一</x:v>
      </x:c>
      <x:c r="G36" s="23" t="str"/>
      <x:c r="H36" s="23" t="str"/>
      <x:c r="I36" s="23" t="str"/>
      <x:c r="J36" s="23" t="str"/>
      <x:c r="K36" s="23" t="str"/>
      <x:c r="L36" s="22" t="str">
        <x:v>未执行</x:v>
      </x:c>
      <x:c r="M36" s="23" t="str"/>
      <x:c r="N36" s="23" t="str"/>
    </x:row>
    <x:row r="37" ht="36" customHeight="1">
      <x:c r="A37" s="21" t="str">
        <x:v>C-ORD-006</x:v>
      </x:c>
      <x:c r="B37" s="22" t="str">
        <x:v>C</x:v>
      </x:c>
      <x:c r="C37" s="23" t="str">
        <x:v>C-ORD-010</x:v>
      </x:c>
      <x:c r="D37" s="23" t="str">
        <x:v>订单</x:v>
      </x:c>
      <x:c r="E37" s="23" t="str">
        <x:v>等价类</x:v>
      </x:c>
      <x:c r="F37" s="23" t="str">
        <x:v>无效购物车编号提交订单</x:v>
      </x:c>
      <x:c r="G37" s="23" t="str"/>
      <x:c r="H37" s="23" t="str"/>
      <x:c r="I37" s="23" t="str"/>
      <x:c r="J37" s="23" t="str"/>
      <x:c r="K37" s="23" t="str"/>
      <x:c r="L37" s="22" t="str">
        <x:v>未执行</x:v>
      </x:c>
      <x:c r="M37" s="23" t="str"/>
      <x:c r="N37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7" t="str">
        <x:v>覆盖矩阵（自动汇总）</x:v>
      </x:c>
      <x:c r="B1" s="27" t="str">
        <x:v>总数</x:v>
      </x:c>
      <x:c r="C1" s="27" t="str">
        <x:v>等价类</x:v>
      </x:c>
      <x:c r="D1" s="27" t="str">
        <x:v>边界值</x:v>
      </x:c>
      <x:c r="E1" s="27" t="str">
        <x:v>场景法</x:v>
      </x:c>
      <x:c r="F1" s="27" t="str">
        <x:v>完成状态</x:v>
      </x:c>
    </x:row>
    <x:row r="2">
      <x:c r="A2" s="23" t="str">
        <x:v>成员 A｜用户与地址</x:v>
      </x:c>
      <x:c r="B2" s="23" t="n">
        <x:f>COUNTIF('用例清单'!B2:B37,"A")</x:f>
        <x:v>12</x:v>
      </x:c>
      <x:c r="C2" s="23" t="n">
        <x:f>COUNTIFS('用例清单'!B2:B37,"A",'用例清单'!E2:E37,"等价类")</x:f>
        <x:v>5</x:v>
      </x:c>
      <x:c r="D2" s="23" t="n">
        <x:f>COUNTIFS('用例清单'!B2:B37,"A",'用例清单'!E2:E37,"边界值")</x:f>
        <x:v>4</x:v>
      </x:c>
      <x:c r="E2" s="23" t="n">
        <x:f>COUNTIFS('用例清单'!B2:B37,"A",'用例清单'!E2:E37,"场景法")</x:f>
        <x:v>3</x:v>
      </x:c>
      <x:c r="F2" s="23" t="str">
        <x:v>成员补录</x:v>
      </x:c>
    </x:row>
    <x:row r="3">
      <x:c r="A3" s="23" t="str">
        <x:v>成员 B｜商品与搜索</x:v>
      </x:c>
      <x:c r="B3" s="23" t="n">
        <x:f>COUNTIF('用例清单'!B2:B37,"B")</x:f>
        <x:v>12</x:v>
      </x:c>
      <x:c r="C3" s="23" t="n">
        <x:f>COUNTIFS('用例清单'!B2:B37,"B",'用例清单'!E2:E37,"等价类")</x:f>
        <x:v>5</x:v>
      </x:c>
      <x:c r="D3" s="23" t="n">
        <x:f>COUNTIFS('用例清单'!B2:B37,"B",'用例清单'!E2:E37,"边界值")</x:f>
        <x:v>4</x:v>
      </x:c>
      <x:c r="E3" s="23" t="n">
        <x:f>COUNTIFS('用例清单'!B2:B37,"B",'用例清单'!E2:E37,"场景法")</x:f>
        <x:v>3</x:v>
      </x:c>
      <x:c r="F3" s="23" t="str">
        <x:v>成员补录</x:v>
      </x:c>
    </x:row>
    <x:row r="4">
      <x:c r="A4" s="23" t="str">
        <x:v>成员 C｜购物车与订单</x:v>
      </x:c>
      <x:c r="B4" s="23" t="n">
        <x:f>COUNTIF('用例清单'!B2:B37,"C")</x:f>
        <x:v>12</x:v>
      </x:c>
      <x:c r="C4" s="23" t="n">
        <x:f>COUNTIFS('用例清单'!B2:B37,"C",'用例清单'!E2:E37,"等价类")</x:f>
        <x:v>4</x:v>
      </x:c>
      <x:c r="D4" s="23" t="n">
        <x:f>COUNTIFS('用例清单'!B2:B37,"C",'用例清单'!E2:E37,"边界值")</x:f>
        <x:v>3</x:v>
      </x:c>
      <x:c r="E4" s="23" t="n">
        <x:f>COUNTIFS('用例清单'!B2:B37,"C",'用例清单'!E2:E37,"场景法")</x:f>
        <x:v>5</x:v>
      </x:c>
      <x:c r="F4" s="23" t="str">
        <x:v>成员补录</x:v>
      </x:c>
    </x:row>
    <x:row r="5">
      <x:c r="A5" s="28" t="str">
        <x:v>合计</x:v>
      </x:c>
      <x:c r="B5" s="28" t="n">
        <x:f>SUM(B2:B4)</x:f>
        <x:v>36</x:v>
      </x:c>
      <x:c r="C5" s="28" t="n">
        <x:f>SUM(C2:C4)</x:f>
        <x:v>14</x:v>
      </x:c>
      <x:c r="D5" s="28" t="n">
        <x:f>SUM(D2:D4)</x:f>
        <x:v>11</x:v>
      </x:c>
      <x:c r="E5" s="28" t="n">
        <x:f>SUM(E2:E4)</x:f>
        <x:v>11</x:v>
      </x:c>
      <x:c r="F5" s="28" t="str">
        <x:v>目标 ≥30 条</x:v>
      </x:c>
    </x:row>
    <x:row r="7" ht="32" customHeight="1">
      <x:c r="A7" s="29" t="str">
        <x:v>填写顺序</x:v>
      </x:c>
      <x:c r="B7" s="9" t="str">
        <x:v>负责人先补写前置条件、步骤、输入和预期，再执行并填写实际结果、状态、证据路径</x:v>
      </x:c>
    </x:row>
    <x:row r="8" ht="32" customHeight="1">
      <x:c r="A8" s="29" t="str">
        <x:v>方法覆盖</x:v>
      </x:c>
      <x:c r="B8" s="9" t="str">
        <x:v>至少保留两种方法；当前框架已覆盖三种方法</x:v>
      </x:c>
    </x:row>
    <x:row r="9" ht="32" customHeight="1">
      <x:c r="A9" s="29" t="str">
        <x:v>缺陷关联</x:v>
      </x:c>
      <x:c r="B9" s="9" t="str">
        <x:v>失败用例在 N 列填写 D-01、D-02 等缺陷编号</x:v>
      </x:c>
    </x:row>
    <x:row r="10" ht="32" customHeight="1">
      <x:c r="A10" s="29" t="str">
        <x:v>提交前复核</x:v>
      </x:c>
      <x:c r="B10" s="9" t="str">
        <x:v>删除未执行或空字段行前，确保仍有至少 30 条完整人工用例</x:v>
      </x:c>
    </x:row>
    <x:row r="11" ht="32" customHeight="1">
      <x:c r="A11" s="29" t="str">
        <x:v>版本记录</x:v>
      </x:c>
      <x:c r="B11" s="9" t="str">
        <x:v>在 Git 提交中分别由成员使用个人账号提交自己的用例记录和证据</x:v>
      </x:c>
    </x:row>
  </x:sheetData>
  <x:pageMargins left="0.7" right="0.7" top="0.75" bottom="0.75" header="0.3" footer="0.3"/>
</x:worksheet>
</file>