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用例清单" sheetId="2" state="visible" r:id="rId2"/>
    <sheet xmlns:r="http://schemas.openxmlformats.org/officeDocument/2006/relationships" name="覆盖矩阵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17365D"/>
      <sz val="11"/>
    </font>
    <font>
      <name val="Carlito"/>
      <b val="1"/>
      <color rgb="FFFFFFFF"/>
      <sz val="18"/>
    </font>
    <font>
      <name val="Carlito"/>
      <b val="1"/>
      <color rgb="FF375623"/>
      <sz val="11"/>
    </font>
    <font>
      <name val="Carlito"/>
      <b val="1"/>
      <color rgb="FFFFFFFF"/>
      <sz val="11"/>
    </font>
    <font>
      <name val="Carlito"/>
      <b val="1"/>
      <color rgb="FF1F4E78"/>
      <sz val="11"/>
    </font>
    <font>
      <name val="Carlito"/>
      <sz val="11"/>
    </font>
    <font>
      <name val="宋体"/>
      <charset val="134"/>
      <family val="3"/>
      <sz val="9"/>
    </font>
    <font>
      <name val="微软雅黑"/>
      <charset val="134"/>
      <family val="2"/>
      <sz val="11"/>
    </font>
    <font>
      <name val="Arial"/>
      <family val="2"/>
      <sz val="11"/>
    </font>
    <font>
      <name val="Carlito"/>
      <charset val="134"/>
      <family val="2"/>
      <sz val="11"/>
    </font>
  </fonts>
  <fills count="5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1F4E78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6" fillId="0" borderId="0"/>
    <xf numFmtId="0" fontId="6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1">
      <alignment vertical="center" wrapText="1"/>
    </xf>
    <xf numFmtId="0" fontId="0" fillId="0" borderId="0" applyAlignment="1" pivotButton="0" quotePrefix="0" xfId="1">
      <alignment wrapText="1"/>
    </xf>
    <xf numFmtId="0" fontId="3" fillId="4" borderId="0" applyAlignment="1" pivotButton="0" quotePrefix="0" xfId="1">
      <alignment wrapText="1"/>
    </xf>
    <xf numFmtId="0" fontId="4" fillId="3" borderId="1" applyAlignment="1" pivotButton="0" quotePrefix="0" xfId="1">
      <alignment horizontal="center" vertical="center" wrapText="1"/>
    </xf>
    <xf numFmtId="0" fontId="5" fillId="0" borderId="1" applyAlignment="1" pivotButton="0" quotePrefix="0" xfId="1">
      <alignment vertical="center" wrapText="1"/>
    </xf>
    <xf numFmtId="0" fontId="0" fillId="0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vertical="center" wrapText="1"/>
    </xf>
    <xf numFmtId="0" fontId="4" fillId="3" borderId="1" applyAlignment="1" pivotButton="0" quotePrefix="0" xfId="1">
      <alignment horizontal="center"/>
    </xf>
    <xf numFmtId="0" fontId="3" fillId="4" borderId="1" applyAlignment="1" pivotButton="0" quotePrefix="0" xfId="1">
      <alignment vertical="center" wrapText="1"/>
    </xf>
    <xf numFmtId="0" fontId="1" fillId="2" borderId="0" applyAlignment="1" pivotButton="0" quotePrefix="0" xfId="1">
      <alignment wrapText="1"/>
    </xf>
    <xf numFmtId="0" fontId="8" fillId="0" borderId="1" applyAlignment="1" pivotButton="0" quotePrefix="0" xfId="1">
      <alignment vertical="center" wrapText="1"/>
    </xf>
    <xf numFmtId="0" fontId="8" fillId="0" borderId="1" applyAlignment="1" pivotButton="0" quotePrefix="0" xfId="1">
      <alignment horizontal="center" vertical="center" wrapText="1"/>
    </xf>
    <xf numFmtId="0" fontId="10" fillId="0" borderId="1" applyAlignment="1" pivotButton="0" quotePrefix="0" xfId="1">
      <alignment vertical="center" wrapText="1"/>
    </xf>
    <xf numFmtId="0" fontId="2" fillId="3" borderId="0" applyAlignment="1" pivotButton="0" quotePrefix="0" xfId="1">
      <alignment horizontal="center" vertical="center"/>
    </xf>
    <xf numFmtId="0" fontId="0" fillId="0" borderId="0" pivotButton="0" quotePrefix="0" xfId="0"/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B3" sqref="B3"/>
    </sheetView>
  </sheetViews>
  <sheetFormatPr baseColWidth="8" defaultRowHeight="14"/>
  <cols>
    <col width="16" customWidth="1" style="15" min="1" max="1"/>
    <col width="92" customWidth="1" style="15" min="2" max="2"/>
  </cols>
  <sheetData>
    <row r="1" ht="34" customHeight="1" s="15">
      <c r="A1" s="14" t="inlineStr">
        <is>
          <t>校园鲜达｜模块一人工测试用例记录表</t>
        </is>
      </c>
    </row>
    <row r="3" ht="32" customHeight="1" s="15">
      <c r="A3" s="1" t="inlineStr">
        <is>
          <t>用途</t>
        </is>
      </c>
      <c r="B3" s="2" t="inlineStr">
        <is>
          <t>本表提供 36 条需求覆盖框架，供三位成员按作业要求亲自补写、执行和留存证据。</t>
        </is>
      </c>
    </row>
    <row r="4" ht="32" customHeight="1" s="15">
      <c r="A4" s="1" t="inlineStr">
        <is>
          <t>课程边界</t>
        </is>
      </c>
      <c r="B4" s="2" t="inlineStr">
        <is>
          <t>作业书要求人工测试用例由小组成员自行设计和执行；本表的空白执行字段不能直接作为最终人工记录提交。</t>
        </is>
      </c>
    </row>
    <row r="5" ht="32" customHeight="1" s="15">
      <c r="A5" s="1" t="inlineStr">
        <is>
          <t>完成标准</t>
        </is>
      </c>
      <c r="B5" s="2" t="inlineStr">
        <is>
          <t>至少保留 30 条有效用例；每条补齐前置条件、步骤、输入、预期、实际、结果和证据路径。</t>
        </is>
      </c>
    </row>
    <row r="6" ht="32" customHeight="1" s="15">
      <c r="A6" s="1" t="inlineStr">
        <is>
          <t>方法要求</t>
        </is>
      </c>
      <c r="B6" s="2" t="inlineStr">
        <is>
          <t>至少使用等价类、边界值、场景法中的两类；本表已分配建议方法，成员可依据实际设计调整。</t>
        </is>
      </c>
    </row>
    <row r="7" ht="32" customHeight="1" s="15">
      <c r="A7" s="1" t="inlineStr">
        <is>
          <t>证据要求</t>
        </is>
      </c>
      <c r="B7" s="2" t="inlineStr">
        <is>
          <t>截图或录屏应包含页面/接口结果、账号或数据前置条件、执行时间，并与用例编号一致。</t>
        </is>
      </c>
    </row>
    <row r="8" ht="32" customHeight="1" s="15">
      <c r="A8" s="1" t="inlineStr">
        <is>
          <t>分工</t>
        </is>
      </c>
      <c r="B8" s="2" t="inlineStr">
        <is>
          <t>A：用户、登录、地址；B：商品、搜索、浏览历史；C：购物车、订单、库存。</t>
        </is>
      </c>
    </row>
    <row r="9" ht="32" customHeight="1" s="15">
      <c r="A9" s="1" t="inlineStr">
        <is>
          <t>状态填写</t>
        </is>
      </c>
      <c r="B9" s="2" t="inlineStr">
        <is>
          <t>未执行 / 通过 / 失败 / 阻塞；失败用例必须关联缺陷编号。</t>
        </is>
      </c>
    </row>
    <row r="10" ht="32" customHeight="1" s="15">
      <c r="A10" s="1" t="inlineStr">
        <is>
          <t>数据安全</t>
        </is>
      </c>
      <c r="B10" s="2" t="inlineStr">
        <is>
          <t>仅使用脱敏演示账号和 load_demo_data 生成的演示商品，不填写真实手机号、地址或密码。</t>
        </is>
      </c>
    </row>
    <row r="12" ht="28" customHeight="1" s="15">
      <c r="A12" s="3" t="inlineStr">
        <is>
          <t>当前自动化回归基线</t>
        </is>
      </c>
      <c r="B12" s="2" t="inlineStr">
        <is>
          <t>78 个测试全部通过（以仓库当前版本实际运行结果为准）</t>
        </is>
      </c>
    </row>
    <row r="13">
      <c r="A13" s="3" t="inlineStr">
        <is>
          <t>演示数据</t>
        </is>
      </c>
      <c r="B13" s="2" t="inlineStr">
        <is>
          <t>6 个分类、24 个商品，可运行 manage.py load_demo_data 幂等加载</t>
        </is>
      </c>
    </row>
    <row r="14">
      <c r="A14" s="3" t="inlineStr">
        <is>
          <t>组长复核</t>
        </is>
      </c>
      <c r="B14" s="2" t="inlineStr">
        <is>
          <t>合并前检查每位成员是否补齐自己的人工执行字段，并核对 Git 提交作者与用例负责人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tabSelected="1" topLeftCell="H1" zoomScale="85" zoomScaleNormal="85" workbookViewId="0">
      <pane ySplit="1" topLeftCell="A27" activePane="bottomLeft" state="frozen"/>
      <selection pane="bottomLeft" activeCell="I27" sqref="I27"/>
    </sheetView>
  </sheetViews>
  <sheetFormatPr baseColWidth="8" defaultRowHeight="14"/>
  <cols>
    <col width="16" customWidth="1" style="15" min="1" max="1"/>
    <col width="10" customWidth="1" style="15" min="2" max="2"/>
    <col width="15" customWidth="1" style="15" min="3" max="3"/>
    <col width="16" customWidth="1" style="15" min="4" max="4"/>
    <col width="12" customWidth="1" style="15" min="5" max="5"/>
    <col width="28" customWidth="1" style="15" min="6" max="6"/>
    <col width="30" customWidth="1" style="15" min="7" max="7"/>
    <col width="42" customWidth="1" style="15" min="8" max="8"/>
    <col width="24" customWidth="1" style="15" min="9" max="9"/>
    <col width="30" customWidth="1" style="15" min="10" max="11"/>
    <col width="12" customWidth="1" style="15" min="12" max="12"/>
    <col width="28" customWidth="1" style="15" min="13" max="13"/>
    <col width="16" customWidth="1" style="15" min="14" max="14"/>
  </cols>
  <sheetData>
    <row r="1" ht="30" customHeight="1" s="15">
      <c r="A1" s="4" t="inlineStr">
        <is>
          <t>用例编号</t>
        </is>
      </c>
      <c r="B1" s="4" t="inlineStr">
        <is>
          <t>负责人</t>
        </is>
      </c>
      <c r="C1" s="4" t="inlineStr">
        <is>
          <t>需求编号</t>
        </is>
      </c>
      <c r="D1" s="4" t="inlineStr">
        <is>
          <t>模块</t>
        </is>
      </c>
      <c r="E1" s="4" t="inlineStr">
        <is>
          <t>设计方法</t>
        </is>
      </c>
      <c r="F1" s="4" t="inlineStr">
        <is>
          <t>用例名称（成员可修改）</t>
        </is>
      </c>
      <c r="G1" s="4" t="inlineStr">
        <is>
          <t>前置条件（成员补写）</t>
        </is>
      </c>
      <c r="H1" s="4" t="inlineStr">
        <is>
          <t>测试步骤（成员补写）</t>
        </is>
      </c>
      <c r="I1" s="4" t="inlineStr">
        <is>
          <t>输入数据（成员补写）</t>
        </is>
      </c>
      <c r="J1" s="4" t="inlineStr">
        <is>
          <t>预期结果（成员补写）</t>
        </is>
      </c>
      <c r="K1" s="4" t="inlineStr">
        <is>
          <t>实际结果（成员执行）</t>
        </is>
      </c>
      <c r="L1" s="4" t="inlineStr">
        <is>
          <t>状态</t>
        </is>
      </c>
      <c r="M1" s="4" t="inlineStr">
        <is>
          <t>证据路径</t>
        </is>
      </c>
      <c r="N1" s="4" t="inlineStr">
        <is>
          <t>缺陷编号</t>
        </is>
      </c>
    </row>
    <row r="2" ht="36" customHeight="1" s="15">
      <c r="A2" s="5" t="inlineStr">
        <is>
          <t>A-USER-001</t>
        </is>
      </c>
      <c r="B2" s="6" t="inlineStr">
        <is>
          <t>A</t>
        </is>
      </c>
      <c r="C2" s="7" t="inlineStr">
        <is>
          <t>A-LOGIN-001</t>
        </is>
      </c>
      <c r="D2" s="7" t="inlineStr">
        <is>
          <t>用户/登录</t>
        </is>
      </c>
      <c r="E2" s="7" t="inlineStr">
        <is>
          <t>等价类</t>
        </is>
      </c>
      <c r="F2" s="7" t="inlineStr">
        <is>
          <t>合法账号密码登录</t>
        </is>
      </c>
      <c r="G2" s="7" t="n"/>
      <c r="H2" s="7" t="n"/>
      <c r="I2" s="7" t="n"/>
      <c r="J2" s="7" t="n"/>
      <c r="K2" s="7" t="n"/>
      <c r="L2" s="6" t="inlineStr">
        <is>
          <t>未执行</t>
        </is>
      </c>
      <c r="M2" s="7" t="n"/>
      <c r="N2" s="7" t="n"/>
    </row>
    <row r="3" ht="36" customHeight="1" s="15">
      <c r="A3" s="5" t="inlineStr">
        <is>
          <t>A-USER-002</t>
        </is>
      </c>
      <c r="B3" s="6" t="inlineStr">
        <is>
          <t>A</t>
        </is>
      </c>
      <c r="C3" s="7" t="inlineStr">
        <is>
          <t>A-LOGIN-002</t>
        </is>
      </c>
      <c r="D3" s="7" t="inlineStr">
        <is>
          <t>用户/登录</t>
        </is>
      </c>
      <c r="E3" s="7" t="inlineStr">
        <is>
          <t>等价类</t>
        </is>
      </c>
      <c r="F3" s="7" t="inlineStr">
        <is>
          <t>错误密码登录</t>
        </is>
      </c>
      <c r="G3" s="7" t="n"/>
      <c r="H3" s="7" t="n"/>
      <c r="I3" s="7" t="n"/>
      <c r="J3" s="7" t="n"/>
      <c r="K3" s="7" t="n"/>
      <c r="L3" s="6" t="inlineStr">
        <is>
          <t>未执行</t>
        </is>
      </c>
      <c r="M3" s="7" t="n"/>
      <c r="N3" s="7" t="n"/>
    </row>
    <row r="4" ht="36" customHeight="1" s="15">
      <c r="A4" s="5" t="inlineStr">
        <is>
          <t>A-USER-003</t>
        </is>
      </c>
      <c r="B4" s="6" t="inlineStr">
        <is>
          <t>A</t>
        </is>
      </c>
      <c r="C4" s="7" t="inlineStr">
        <is>
          <t>A-LOGIN-003</t>
        </is>
      </c>
      <c r="D4" s="7" t="inlineStr">
        <is>
          <t>用户/登录</t>
        </is>
      </c>
      <c r="E4" s="7" t="inlineStr">
        <is>
          <t>边界值</t>
        </is>
      </c>
      <c r="F4" s="7" t="inlineStr">
        <is>
          <t>账号为空提交登录</t>
        </is>
      </c>
      <c r="G4" s="7" t="n"/>
      <c r="H4" s="7" t="n"/>
      <c r="I4" s="7" t="n"/>
      <c r="J4" s="7" t="n"/>
      <c r="K4" s="7" t="n"/>
      <c r="L4" s="6" t="inlineStr">
        <is>
          <t>未执行</t>
        </is>
      </c>
      <c r="M4" s="7" t="n"/>
      <c r="N4" s="7" t="n"/>
    </row>
    <row r="5" ht="36" customHeight="1" s="15">
      <c r="A5" s="5" t="inlineStr">
        <is>
          <t>A-USER-004</t>
        </is>
      </c>
      <c r="B5" s="6" t="inlineStr">
        <is>
          <t>A</t>
        </is>
      </c>
      <c r="C5" s="7" t="inlineStr">
        <is>
          <t>A-LOGIN-004</t>
        </is>
      </c>
      <c r="D5" s="7" t="inlineStr">
        <is>
          <t>用户/登录</t>
        </is>
      </c>
      <c r="E5" s="7" t="inlineStr">
        <is>
          <t>边界值</t>
        </is>
      </c>
      <c r="F5" s="7" t="inlineStr">
        <is>
          <t>密码为空提交登录</t>
        </is>
      </c>
      <c r="G5" s="7" t="n"/>
      <c r="H5" s="7" t="n"/>
      <c r="I5" s="7" t="n"/>
      <c r="J5" s="7" t="n"/>
      <c r="K5" s="7" t="n"/>
      <c r="L5" s="6" t="inlineStr">
        <is>
          <t>未执行</t>
        </is>
      </c>
      <c r="M5" s="7" t="n"/>
      <c r="N5" s="7" t="n"/>
    </row>
    <row r="6" ht="36" customHeight="1" s="15">
      <c r="A6" s="5" t="inlineStr">
        <is>
          <t>A-USER-005</t>
        </is>
      </c>
      <c r="B6" s="6" t="inlineStr">
        <is>
          <t>A</t>
        </is>
      </c>
      <c r="C6" s="7" t="inlineStr">
        <is>
          <t>A-LOGIN-005</t>
        </is>
      </c>
      <c r="D6" s="7" t="inlineStr">
        <is>
          <t>用户/登录</t>
        </is>
      </c>
      <c r="E6" s="7" t="inlineStr">
        <is>
          <t>场景法</t>
        </is>
      </c>
      <c r="F6" s="7" t="inlineStr">
        <is>
          <t>登录后刷新页面会话保持</t>
        </is>
      </c>
      <c r="G6" s="7" t="n"/>
      <c r="H6" s="7" t="n"/>
      <c r="I6" s="7" t="n"/>
      <c r="J6" s="7" t="n"/>
      <c r="K6" s="7" t="n"/>
      <c r="L6" s="6" t="inlineStr">
        <is>
          <t>未执行</t>
        </is>
      </c>
      <c r="M6" s="7" t="n"/>
      <c r="N6" s="7" t="n"/>
    </row>
    <row r="7" ht="36" customHeight="1" s="15">
      <c r="A7" s="5" t="inlineStr">
        <is>
          <t>A-USER-006</t>
        </is>
      </c>
      <c r="B7" s="6" t="inlineStr">
        <is>
          <t>A</t>
        </is>
      </c>
      <c r="C7" s="7" t="inlineStr">
        <is>
          <t>A-LOGIN-006</t>
        </is>
      </c>
      <c r="D7" s="7" t="inlineStr">
        <is>
          <t>用户/登录</t>
        </is>
      </c>
      <c r="E7" s="7" t="inlineStr">
        <is>
          <t>场景法</t>
        </is>
      </c>
      <c r="F7" s="7" t="inlineStr">
        <is>
          <t>退出后访问受保护页面</t>
        </is>
      </c>
      <c r="G7" s="7" t="n"/>
      <c r="H7" s="7" t="n"/>
      <c r="I7" s="7" t="n"/>
      <c r="J7" s="7" t="n"/>
      <c r="K7" s="7" t="n"/>
      <c r="L7" s="6" t="inlineStr">
        <is>
          <t>未执行</t>
        </is>
      </c>
      <c r="M7" s="7" t="n"/>
      <c r="N7" s="7" t="n"/>
    </row>
    <row r="8" ht="36" customHeight="1" s="15">
      <c r="A8" s="5" t="inlineStr">
        <is>
          <t>A-USER-007</t>
        </is>
      </c>
      <c r="B8" s="6" t="inlineStr">
        <is>
          <t>A</t>
        </is>
      </c>
      <c r="C8" s="7" t="inlineStr">
        <is>
          <t>A-REG-001</t>
        </is>
      </c>
      <c r="D8" s="7" t="inlineStr">
        <is>
          <t>用户/注册</t>
        </is>
      </c>
      <c r="E8" s="7" t="inlineStr">
        <is>
          <t>等价类</t>
        </is>
      </c>
      <c r="F8" s="7" t="inlineStr">
        <is>
          <t>合法新用户注册</t>
        </is>
      </c>
      <c r="G8" s="7" t="n"/>
      <c r="H8" s="7" t="n"/>
      <c r="I8" s="7" t="n"/>
      <c r="J8" s="7" t="n"/>
      <c r="K8" s="7" t="n"/>
      <c r="L8" s="6" t="inlineStr">
        <is>
          <t>未执行</t>
        </is>
      </c>
      <c r="M8" s="7" t="n"/>
      <c r="N8" s="7" t="n"/>
    </row>
    <row r="9" ht="36" customHeight="1" s="15">
      <c r="A9" s="5" t="inlineStr">
        <is>
          <t>A-USER-008</t>
        </is>
      </c>
      <c r="B9" s="6" t="inlineStr">
        <is>
          <t>A</t>
        </is>
      </c>
      <c r="C9" s="7" t="inlineStr">
        <is>
          <t>A-REG-002</t>
        </is>
      </c>
      <c r="D9" s="7" t="inlineStr">
        <is>
          <t>用户/注册</t>
        </is>
      </c>
      <c r="E9" s="7" t="inlineStr">
        <is>
          <t>等价类</t>
        </is>
      </c>
      <c r="F9" s="7" t="inlineStr">
        <is>
          <t>重复用户名注册</t>
        </is>
      </c>
      <c r="G9" s="7" t="n"/>
      <c r="H9" s="7" t="n"/>
      <c r="I9" s="7" t="n"/>
      <c r="J9" s="7" t="n"/>
      <c r="K9" s="7" t="n"/>
      <c r="L9" s="6" t="inlineStr">
        <is>
          <t>未执行</t>
        </is>
      </c>
      <c r="M9" s="7" t="n"/>
      <c r="N9" s="7" t="n"/>
    </row>
    <row r="10" ht="36" customHeight="1" s="15">
      <c r="A10" s="5" t="inlineStr">
        <is>
          <t>A-USER-009</t>
        </is>
      </c>
      <c r="B10" s="6" t="inlineStr">
        <is>
          <t>A</t>
        </is>
      </c>
      <c r="C10" s="7" t="inlineStr">
        <is>
          <t>A-REG-003</t>
        </is>
      </c>
      <c r="D10" s="7" t="inlineStr">
        <is>
          <t>用户/注册</t>
        </is>
      </c>
      <c r="E10" s="7" t="inlineStr">
        <is>
          <t>边界值</t>
        </is>
      </c>
      <c r="F10" s="7" t="inlineStr">
        <is>
          <t>注册密码长度边界</t>
        </is>
      </c>
      <c r="G10" s="7" t="n"/>
      <c r="H10" s="7" t="n"/>
      <c r="I10" s="7" t="n"/>
      <c r="J10" s="7" t="n"/>
      <c r="K10" s="7" t="n"/>
      <c r="L10" s="6" t="inlineStr">
        <is>
          <t>未执行</t>
        </is>
      </c>
      <c r="M10" s="7" t="n"/>
      <c r="N10" s="7" t="n"/>
    </row>
    <row r="11" ht="36" customHeight="1" s="15">
      <c r="A11" s="5" t="inlineStr">
        <is>
          <t>A-USER-010</t>
        </is>
      </c>
      <c r="B11" s="6" t="inlineStr">
        <is>
          <t>A</t>
        </is>
      </c>
      <c r="C11" s="7" t="inlineStr">
        <is>
          <t>A-USER-001</t>
        </is>
      </c>
      <c r="D11" s="7" t="inlineStr">
        <is>
          <t>用户中心</t>
        </is>
      </c>
      <c r="E11" s="7" t="inlineStr">
        <is>
          <t>场景法</t>
        </is>
      </c>
      <c r="F11" s="7" t="inlineStr">
        <is>
          <t>用户中心展示当前用户信息</t>
        </is>
      </c>
      <c r="G11" s="7" t="n"/>
      <c r="H11" s="7" t="n"/>
      <c r="I11" s="7" t="n"/>
      <c r="J11" s="7" t="n"/>
      <c r="K11" s="7" t="n"/>
      <c r="L11" s="6" t="inlineStr">
        <is>
          <t>未执行</t>
        </is>
      </c>
      <c r="M11" s="7" t="n"/>
      <c r="N11" s="7" t="n"/>
    </row>
    <row r="12" ht="36" customHeight="1" s="15">
      <c r="A12" s="5" t="inlineStr">
        <is>
          <t>A-USER-011</t>
        </is>
      </c>
      <c r="B12" s="6" t="inlineStr">
        <is>
          <t>A</t>
        </is>
      </c>
      <c r="C12" s="7" t="inlineStr">
        <is>
          <t>A-ADDR-001</t>
        </is>
      </c>
      <c r="D12" s="7" t="inlineStr">
        <is>
          <t>收货地址</t>
        </is>
      </c>
      <c r="E12" s="7" t="inlineStr">
        <is>
          <t>等价类</t>
        </is>
      </c>
      <c r="F12" s="7" t="inlineStr">
        <is>
          <t>新增完整收货地址</t>
        </is>
      </c>
      <c r="G12" s="7" t="n"/>
      <c r="H12" s="7" t="n"/>
      <c r="I12" s="7" t="n"/>
      <c r="J12" s="7" t="n"/>
      <c r="K12" s="7" t="n"/>
      <c r="L12" s="6" t="inlineStr">
        <is>
          <t>未执行</t>
        </is>
      </c>
      <c r="M12" s="7" t="n"/>
      <c r="N12" s="7" t="n"/>
    </row>
    <row r="13" ht="36" customHeight="1" s="15">
      <c r="A13" s="5" t="inlineStr">
        <is>
          <t>A-USER-012</t>
        </is>
      </c>
      <c r="B13" s="6" t="inlineStr">
        <is>
          <t>A</t>
        </is>
      </c>
      <c r="C13" s="7" t="inlineStr">
        <is>
          <t>A-ADDR-002</t>
        </is>
      </c>
      <c r="D13" s="7" t="inlineStr">
        <is>
          <t>收货地址</t>
        </is>
      </c>
      <c r="E13" s="7" t="inlineStr">
        <is>
          <t>边界值</t>
        </is>
      </c>
      <c r="F13" s="7" t="inlineStr">
        <is>
          <t>地址必填字段为空</t>
        </is>
      </c>
      <c r="G13" s="7" t="n"/>
      <c r="H13" s="7" t="n"/>
      <c r="I13" s="7" t="n"/>
      <c r="J13" s="7" t="n"/>
      <c r="K13" s="7" t="n"/>
      <c r="L13" s="6" t="inlineStr">
        <is>
          <t>未执行</t>
        </is>
      </c>
      <c r="M13" s="7" t="n"/>
      <c r="N13" s="7" t="n"/>
    </row>
    <row r="14" ht="36" customHeight="1" s="15">
      <c r="A14" s="5" t="inlineStr">
        <is>
          <t>B-GOODS-001</t>
        </is>
      </c>
      <c r="B14" s="6" t="inlineStr">
        <is>
          <t>B</t>
        </is>
      </c>
      <c r="C14" s="7" t="inlineStr">
        <is>
          <t>B-GOODS-001</t>
        </is>
      </c>
      <c r="D14" s="7" t="inlineStr">
        <is>
          <t>商品浏览</t>
        </is>
      </c>
      <c r="E14" s="7" t="inlineStr">
        <is>
          <t>等价类</t>
        </is>
      </c>
      <c r="F14" s="7" t="inlineStr">
        <is>
          <t>首页按分类展示商品</t>
        </is>
      </c>
      <c r="G14" s="7" t="n"/>
      <c r="H14" s="7" t="n"/>
      <c r="I14" s="7" t="n"/>
      <c r="J14" s="7" t="n"/>
      <c r="K14" s="7" t="n"/>
      <c r="L14" s="6" t="inlineStr">
        <is>
          <t>未执行</t>
        </is>
      </c>
      <c r="M14" s="7" t="n"/>
      <c r="N14" s="7" t="n"/>
    </row>
    <row r="15" ht="36" customHeight="1" s="15">
      <c r="A15" s="5" t="inlineStr">
        <is>
          <t>B-GOODS-002</t>
        </is>
      </c>
      <c r="B15" s="6" t="inlineStr">
        <is>
          <t>B</t>
        </is>
      </c>
      <c r="C15" s="7" t="inlineStr">
        <is>
          <t>B-GOODS-002</t>
        </is>
      </c>
      <c r="D15" s="7" t="inlineStr">
        <is>
          <t>商品浏览</t>
        </is>
      </c>
      <c r="E15" s="7" t="inlineStr">
        <is>
          <t>场景法</t>
        </is>
      </c>
      <c r="F15" s="7" t="inlineStr">
        <is>
          <t>商品详情展示价格库存和图片</t>
        </is>
      </c>
      <c r="G15" s="7" t="n"/>
      <c r="H15" s="7" t="n"/>
      <c r="I15" s="7" t="n"/>
      <c r="J15" s="7" t="n"/>
      <c r="K15" s="7" t="n"/>
      <c r="L15" s="6" t="inlineStr">
        <is>
          <t>未执行</t>
        </is>
      </c>
      <c r="M15" s="7" t="n"/>
      <c r="N15" s="7" t="n"/>
    </row>
    <row r="16" ht="36" customHeight="1" s="15">
      <c r="A16" s="5" t="inlineStr">
        <is>
          <t>B-GOODS-003</t>
        </is>
      </c>
      <c r="B16" s="6" t="inlineStr">
        <is>
          <t>B</t>
        </is>
      </c>
      <c r="C16" s="7" t="inlineStr">
        <is>
          <t>B-GOODS-003</t>
        </is>
      </c>
      <c r="D16" s="7" t="inlineStr">
        <is>
          <t>商品浏览</t>
        </is>
      </c>
      <c r="E16" s="7" t="inlineStr">
        <is>
          <t>边界值</t>
        </is>
      </c>
      <c r="F16" s="7" t="inlineStr">
        <is>
          <t>商品库存为零时详情状态</t>
        </is>
      </c>
      <c r="G16" s="7" t="n"/>
      <c r="H16" s="7" t="n"/>
      <c r="I16" s="7" t="n"/>
      <c r="J16" s="7" t="n"/>
      <c r="K16" s="7" t="n"/>
      <c r="L16" s="6" t="inlineStr">
        <is>
          <t>未执行</t>
        </is>
      </c>
      <c r="M16" s="7" t="n"/>
      <c r="N16" s="7" t="n"/>
    </row>
    <row r="17" ht="36" customHeight="1" s="15">
      <c r="A17" s="5" t="inlineStr">
        <is>
          <t>B-GOODS-004</t>
        </is>
      </c>
      <c r="B17" s="6" t="inlineStr">
        <is>
          <t>B</t>
        </is>
      </c>
      <c r="C17" s="7" t="inlineStr">
        <is>
          <t>B-GOODS-004</t>
        </is>
      </c>
      <c r="D17" s="7" t="inlineStr">
        <is>
          <t>商品浏览</t>
        </is>
      </c>
      <c r="E17" s="7" t="inlineStr">
        <is>
          <t>等价类</t>
        </is>
      </c>
      <c r="F17" s="7" t="inlineStr">
        <is>
          <t>逻辑删除商品不出现在列表</t>
        </is>
      </c>
      <c r="G17" s="7" t="n"/>
      <c r="H17" s="7" t="n"/>
      <c r="I17" s="7" t="n"/>
      <c r="J17" s="7" t="n"/>
      <c r="K17" s="7" t="n"/>
      <c r="L17" s="6" t="inlineStr">
        <is>
          <t>未执行</t>
        </is>
      </c>
      <c r="M17" s="7" t="n"/>
      <c r="N17" s="7" t="n"/>
    </row>
    <row r="18" ht="36" customHeight="1" s="15">
      <c r="A18" s="5" t="inlineStr">
        <is>
          <t>B-GOODS-005</t>
        </is>
      </c>
      <c r="B18" s="6" t="inlineStr">
        <is>
          <t>B</t>
        </is>
      </c>
      <c r="C18" s="7" t="inlineStr">
        <is>
          <t>B-SEARCH-001</t>
        </is>
      </c>
      <c r="D18" s="7" t="inlineStr">
        <is>
          <t>搜索</t>
        </is>
      </c>
      <c r="E18" s="7" t="inlineStr">
        <is>
          <t>等价类</t>
        </is>
      </c>
      <c r="F18" s="7" t="inlineStr">
        <is>
          <t>按完整关键词搜索商品</t>
        </is>
      </c>
      <c r="G18" s="7" t="n"/>
      <c r="H18" s="7" t="n"/>
      <c r="I18" s="7" t="n"/>
      <c r="J18" s="7" t="n"/>
      <c r="K18" s="7" t="n"/>
      <c r="L18" s="6" t="inlineStr">
        <is>
          <t>未执行</t>
        </is>
      </c>
      <c r="M18" s="7" t="n"/>
      <c r="N18" s="7" t="n"/>
    </row>
    <row r="19" ht="36" customHeight="1" s="15">
      <c r="A19" s="5" t="inlineStr">
        <is>
          <t>B-GOODS-006</t>
        </is>
      </c>
      <c r="B19" s="6" t="inlineStr">
        <is>
          <t>B</t>
        </is>
      </c>
      <c r="C19" s="7" t="inlineStr">
        <is>
          <t>B-SEARCH-002</t>
        </is>
      </c>
      <c r="D19" s="7" t="inlineStr">
        <is>
          <t>搜索</t>
        </is>
      </c>
      <c r="E19" s="7" t="inlineStr">
        <is>
          <t>等价类</t>
        </is>
      </c>
      <c r="F19" s="7" t="inlineStr">
        <is>
          <t>按部分关键词搜索商品</t>
        </is>
      </c>
      <c r="G19" s="7" t="n"/>
      <c r="H19" s="7" t="n"/>
      <c r="I19" s="7" t="n"/>
      <c r="J19" s="7" t="n"/>
      <c r="K19" s="7" t="n"/>
      <c r="L19" s="6" t="inlineStr">
        <is>
          <t>未执行</t>
        </is>
      </c>
      <c r="M19" s="7" t="n"/>
      <c r="N19" s="7" t="n"/>
    </row>
    <row r="20" ht="36" customHeight="1" s="15">
      <c r="A20" s="5" t="inlineStr">
        <is>
          <t>B-GOODS-007</t>
        </is>
      </c>
      <c r="B20" s="6" t="inlineStr">
        <is>
          <t>B</t>
        </is>
      </c>
      <c r="C20" s="7" t="inlineStr">
        <is>
          <t>B-SEARCH-003</t>
        </is>
      </c>
      <c r="D20" s="7" t="inlineStr">
        <is>
          <t>搜索</t>
        </is>
      </c>
      <c r="E20" s="7" t="inlineStr">
        <is>
          <t>边界值</t>
        </is>
      </c>
      <c r="F20" s="7" t="inlineStr">
        <is>
          <t>空关键词搜索</t>
        </is>
      </c>
      <c r="G20" s="7" t="n"/>
      <c r="H20" s="7" t="n"/>
      <c r="I20" s="7" t="n"/>
      <c r="J20" s="7" t="n"/>
      <c r="K20" s="7" t="n"/>
      <c r="L20" s="6" t="inlineStr">
        <is>
          <t>未执行</t>
        </is>
      </c>
      <c r="M20" s="7" t="n"/>
      <c r="N20" s="7" t="n"/>
    </row>
    <row r="21" ht="36" customHeight="1" s="15">
      <c r="A21" s="5" t="inlineStr">
        <is>
          <t>B-GOODS-008</t>
        </is>
      </c>
      <c r="B21" s="6" t="inlineStr">
        <is>
          <t>B</t>
        </is>
      </c>
      <c r="C21" s="7" t="inlineStr">
        <is>
          <t>B-SEARCH-004</t>
        </is>
      </c>
      <c r="D21" s="7" t="inlineStr">
        <is>
          <t>搜索</t>
        </is>
      </c>
      <c r="E21" s="7" t="inlineStr">
        <is>
          <t>边界值</t>
        </is>
      </c>
      <c r="F21" s="7" t="inlineStr">
        <is>
          <t>超长关键词搜索</t>
        </is>
      </c>
      <c r="G21" s="7" t="n"/>
      <c r="H21" s="7" t="n"/>
      <c r="I21" s="7" t="n"/>
      <c r="J21" s="7" t="n"/>
      <c r="K21" s="7" t="n"/>
      <c r="L21" s="6" t="inlineStr">
        <is>
          <t>未执行</t>
        </is>
      </c>
      <c r="M21" s="7" t="n"/>
      <c r="N21" s="7" t="n"/>
    </row>
    <row r="22" ht="36" customHeight="1" s="15">
      <c r="A22" s="5" t="inlineStr">
        <is>
          <t>B-GOODS-009</t>
        </is>
      </c>
      <c r="B22" s="6" t="inlineStr">
        <is>
          <t>B</t>
        </is>
      </c>
      <c r="C22" s="7" t="inlineStr">
        <is>
          <t>B-HISTORY-001</t>
        </is>
      </c>
      <c r="D22" s="7" t="inlineStr">
        <is>
          <t>浏览历史</t>
        </is>
      </c>
      <c r="E22" s="7" t="inlineStr">
        <is>
          <t>场景法</t>
        </is>
      </c>
      <c r="F22" s="7" t="inlineStr">
        <is>
          <t>登录用户浏览商品后记录历史</t>
        </is>
      </c>
      <c r="G22" s="7" t="n"/>
      <c r="H22" s="7" t="n"/>
      <c r="I22" s="7" t="n"/>
      <c r="J22" s="7" t="n"/>
      <c r="K22" s="7" t="n"/>
      <c r="L22" s="6" t="inlineStr">
        <is>
          <t>未执行</t>
        </is>
      </c>
      <c r="M22" s="7" t="n"/>
      <c r="N22" s="7" t="n"/>
    </row>
    <row r="23" ht="36" customHeight="1" s="15">
      <c r="A23" s="5" t="inlineStr">
        <is>
          <t>B-GOODS-010</t>
        </is>
      </c>
      <c r="B23" s="6" t="inlineStr">
        <is>
          <t>B</t>
        </is>
      </c>
      <c r="C23" s="7" t="inlineStr">
        <is>
          <t>B-HISTORY-002</t>
        </is>
      </c>
      <c r="D23" s="7" t="inlineStr">
        <is>
          <t>浏览历史</t>
        </is>
      </c>
      <c r="E23" s="7" t="inlineStr">
        <is>
          <t>场景法</t>
        </is>
      </c>
      <c r="F23" s="7" t="inlineStr">
        <is>
          <t>重复浏览同一商品历史去重或更新</t>
        </is>
      </c>
      <c r="G23" s="7" t="n"/>
      <c r="H23" s="7" t="n"/>
      <c r="I23" s="7" t="n"/>
      <c r="J23" s="7" t="n"/>
      <c r="K23" s="7" t="n"/>
      <c r="L23" s="6" t="inlineStr">
        <is>
          <t>未执行</t>
        </is>
      </c>
      <c r="M23" s="7" t="n"/>
      <c r="N23" s="7" t="n"/>
    </row>
    <row r="24" ht="36" customHeight="1" s="15">
      <c r="A24" s="5" t="inlineStr">
        <is>
          <t>B-GOODS-011</t>
        </is>
      </c>
      <c r="B24" s="6" t="inlineStr">
        <is>
          <t>B</t>
        </is>
      </c>
      <c r="C24" s="7" t="inlineStr">
        <is>
          <t>B-HISTORY-003</t>
        </is>
      </c>
      <c r="D24" s="7" t="inlineStr">
        <is>
          <t>浏览历史</t>
        </is>
      </c>
      <c r="E24" s="7" t="inlineStr">
        <is>
          <t>等价类</t>
        </is>
      </c>
      <c r="F24" s="7" t="inlineStr">
        <is>
          <t>未登录用户访问历史页</t>
        </is>
      </c>
      <c r="G24" s="7" t="n"/>
      <c r="H24" s="7" t="n"/>
      <c r="I24" s="7" t="n"/>
      <c r="J24" s="7" t="n"/>
      <c r="K24" s="7" t="n"/>
      <c r="L24" s="6" t="inlineStr">
        <is>
          <t>未执行</t>
        </is>
      </c>
      <c r="M24" s="7" t="n"/>
      <c r="N24" s="7" t="n"/>
    </row>
    <row r="25" ht="36" customHeight="1" s="15">
      <c r="A25" s="5" t="inlineStr">
        <is>
          <t>B-GOODS-012</t>
        </is>
      </c>
      <c r="B25" s="6" t="inlineStr">
        <is>
          <t>B</t>
        </is>
      </c>
      <c r="C25" s="7" t="inlineStr">
        <is>
          <t>B-GOODS-002</t>
        </is>
      </c>
      <c r="D25" s="7" t="inlineStr">
        <is>
          <t>商品浏览</t>
        </is>
      </c>
      <c r="E25" s="7" t="inlineStr">
        <is>
          <t>边界值</t>
        </is>
      </c>
      <c r="F25" s="7" t="inlineStr">
        <is>
          <t>无效商品编号访问详情</t>
        </is>
      </c>
      <c r="G25" s="7" t="n"/>
      <c r="H25" s="7" t="n"/>
      <c r="I25" s="7" t="n"/>
      <c r="J25" s="7" t="n"/>
      <c r="K25" s="7" t="n"/>
      <c r="L25" s="6" t="inlineStr">
        <is>
          <t>未执行</t>
        </is>
      </c>
      <c r="M25" s="7" t="n"/>
      <c r="N25" s="7" t="n"/>
    </row>
    <row r="26" s="15">
      <c r="A26" s="5" t="inlineStr">
        <is>
          <t>C-CART-001</t>
        </is>
      </c>
      <c r="B26" s="6" t="inlineStr">
        <is>
          <t>C</t>
        </is>
      </c>
      <c r="C26" s="7" t="inlineStr">
        <is>
          <t>C-CART-006</t>
        </is>
      </c>
      <c r="D26" s="7" t="inlineStr">
        <is>
          <t>购物车</t>
        </is>
      </c>
      <c r="E26" s="7" t="inlineStr">
        <is>
          <t>场景法</t>
        </is>
      </c>
      <c r="F26" s="11" t="inlineStr">
        <is>
          <t>登录用户加入商品并查看购物车</t>
        </is>
      </c>
      <c r="G26" s="11" t="inlineStr">
        <is>
          <t>1) 已启动服务，可通过 http://127.0.0.1:8000/ 访问；2) 数据库中已存在账号 test01（密码 123456），且该账号购物车为空；3) 目标商品未被逻辑删除、所属分类有效、库存 ≥ 1；4) 当前浏览器未登录任何账号</t>
        </is>
      </c>
      <c r="H26" s="11" t="inlineStr">
        <is>
          <t>1. 打开 /user/login/，输入用户名 test01、密码 123456，点击【登录】
2. 确认页面跳转到首页 /
3. 打开目标商品详情页 /4/
4. 在数量输入框填入 1，点击【加入购物车】
5. 打开购物车页 /cart/</t>
        </is>
      </c>
      <c r="I26" s="13" t="inlineStr">
        <is>
          <t>账号=test01 / 123456；商品编号=4；加购数量=1</t>
        </is>
      </c>
      <c r="J26" s="11" t="inlineStr">
        <is>
          <t>1. 步骤 2 后跳转到首页，右上角显示已登录
2. 购物车页出现 1 行商品，名称 = 海南小台芒
3. 该行数量 = 1
4. 该行商品单价 = 9.90 元/500g
5. 该行“小计” = 单价 × 数量 = 9.90 元
6. “合计(不含运费)” = 9.90 元，与第 5 项一致
7. 页面顶部显示“全部商品 1 件”，结算区显示“共计 1 件商品”（两处统计的都是购物车条目数）</t>
        </is>
      </c>
      <c r="K26" s="11" t="inlineStr">
        <is>
          <t>登录成功后跳转首页，右上角显示“欢迎您：test01”。打开 /4/ 输入数量 1 并加购，/cart/ 出现 1 行商品：海南小台芒，数量 1，单价 9.90 元/500g，该行小计 9.90 元；底部“合计(不含运费)”同样为 9.90 元，与小计一致。
页面顶部显示“全部商品 1 件”，结算区显示“共计 1 件商品”——这两处统计的都是购物车条目数，不是数量之和。
查库确认：df_cart_cartinfo 中 user_id=1 只有 1 条记录（goods_id=4、count=1）；df_goods_goodsinfo 中商品 4 库存仍为 70，加购动作不扣减库存。</t>
        </is>
      </c>
      <c r="L26" s="12" t="inlineStr">
        <is>
          <t>通过</t>
        </is>
      </c>
      <c r="M26" s="7" t="inlineStr">
        <is>
          <t>docs/testing/evidence/C-CART-001-加购后购物车.png</t>
        </is>
      </c>
      <c r="N26" s="7" t="n"/>
    </row>
    <row r="27" s="15">
      <c r="A27" s="5" t="inlineStr">
        <is>
          <t>C-CART-002</t>
        </is>
      </c>
      <c r="B27" s="6" t="inlineStr">
        <is>
          <t>C</t>
        </is>
      </c>
      <c r="C27" s="7" t="inlineStr">
        <is>
          <t>C-CART-004</t>
        </is>
      </c>
      <c r="D27" s="7" t="inlineStr">
        <is>
          <t>购物车</t>
        </is>
      </c>
      <c r="E27" s="7" t="inlineStr">
        <is>
          <t>边界值</t>
        </is>
      </c>
      <c r="F27" s="11" t="inlineStr">
        <is>
          <t>加入数量为零或负数</t>
        </is>
      </c>
      <c r="G27" s="11" t="inlineStr">
        <is>
          <t>1) 已启动服务，可通过 http://127.0.0.1:8000/ 访问；2) 数据库中已存在账号 test01（密码 123456），且该账号购物车已清空；3) 商品编号 4（海南小台芒）未逻辑删除、所属分类有效，当前库存 69；4) 当前浏览器未登录任何账号</t>
        </is>
      </c>
      <c r="H27" s="11" t="inlineStr">
        <is>
          <t>1. 打开 /user/login/，输入用户名 test01、密码 123456，点击【登录】
2. 打开商品详情页 /4/，确认页面显示的库存数量
3. 连续点击数量框旁的【-】三次，观察数量框的最终值
4. 在地址栏直接访问 /cart/add4_0/，观察页面返回的 JSON
5. 在地址栏直接访问 /cart/add4_-1/，观察页面响应
6. 打开购物车页 /cart/，确认购物车内容</t>
        </is>
      </c>
      <c r="I27" s="13" t="inlineStr">
        <is>
          <t>账号=test01 / 123456；商品编号=4；加购数量=0 与 -1（以 URL 直接传入）；点击减号次数=3</t>
        </is>
      </c>
      <c r="J27" s="11" t="inlineStr">
        <is>
          <t>1. 步骤 3 后数量框最小值为 1，继续点击【-】不会降到 0 或负数
2. 步骤 4 返回 JSON：ok=0、msg=“购买数量必须是大于 0 的整数”，页面不发生跳转
3. 步骤 5 返回 HTTP 404（URL 规则只接受数字，负数匹配不到路由）
4. 步骤 6 购物车为空，未新增任何商品行
5. 三次非法请求都给出明确响应，不出现 500 错误页</t>
        </is>
      </c>
      <c r="K27" s="11" t="inlineStr">
        <is>
          <t>执行时商品 4 库存为 69，详情页“库  存：69”。连点 3 次【-】后输入框停在 1，不再下降。地址栏访问 /cart/add4_0/ 直接返回 {"ok":0,"msg":"购买数量必须是大于 0 的整数","count":0}；/cart/add4_-1/ 返回 Django 的“Page not found (404)”调试页（DEBUG=True 时才会展示该页）。回到 /cart/ 显示“全部商品 0 件”、合计 0.00。三次非法请求均未写入任何数据，也没有触发服务端异常。</t>
        </is>
      </c>
      <c r="L27" s="12" t="inlineStr">
        <is>
          <t>通过</t>
        </is>
      </c>
      <c r="M27" s="7" t="inlineStr">
        <is>
          <t>docs/testing/evidence/C-CART-002-登录成功.png
docs/testing/evidence/C-CART-002-详情页库存69.png
docs/testing/evidence/C-CART-002-连点减号数量保持1.png
docs/testing/evidence/C-CART-002-加购数量0返回JSON.png
docs/testing/evidence/C-CART-002-负数参数返回404.png
docs/testing/evidence/C-CART-002-购物车仍为空.png</t>
        </is>
      </c>
      <c r="N27" s="7" t="n"/>
    </row>
    <row r="28" s="15">
      <c r="A28" s="5" t="inlineStr">
        <is>
          <t>C-CART-003</t>
        </is>
      </c>
      <c r="B28" s="6" t="inlineStr">
        <is>
          <t>C</t>
        </is>
      </c>
      <c r="C28" s="7" t="inlineStr">
        <is>
          <t>C-CART-004</t>
        </is>
      </c>
      <c r="D28" s="7" t="inlineStr">
        <is>
          <t>购物车</t>
        </is>
      </c>
      <c r="E28" s="7" t="inlineStr">
        <is>
          <t>边界值</t>
        </is>
      </c>
      <c r="F28" s="7" t="inlineStr">
        <is>
          <t>加入数量超过库存</t>
        </is>
      </c>
      <c r="G28" s="11" t="inlineStr">
        <is>
          <t>1) 已启动服务，可通过 http://127.0.0.1:8000/ 访问；2) 数据库中已存在账号 test01（密码 123456），且该账号购物车已清空；3) 商品编号 4（海南小台芒）当前库存 69、未逻辑删除；4) 当前浏览器未登录任何账号</t>
        </is>
      </c>
      <c r="H28" s="11" t="inlineStr">
        <is>
          <t>1. 打开 /user/login/，用 test01 / 123456 登录
2. 打开 /4/，在数量框输入 65，点击【加入购物车】两次（第一次只触发动画，第二次才真正提交，不要点第三次）
3. 打开 /cart/，记录该商品行的数量与小计
4. 再次打开 /4/，在数量框输入 10，点击【加入购物车】两次，观察是否跳转
5. 打开 /cart/，记录该商品行的数量
6. 在地址栏直接访问 /cart/add4_999/，观察页面返回的 JSON
7. 刷新 /cart/，再次记录该商品行的数量
8. 在 /4/ 的数量框输入 999 后点击页面空白处使输入框失焦，观察输入框最终值</t>
        </is>
      </c>
      <c r="I28" s="13" t="inlineStr">
        <is>
          <t>账号=test01 / 123456；商品编号=4；第一次加购数量=65；第二次加购数量=10；URL 直传数量=999；商品当前库存=69</t>
        </is>
      </c>
      <c r="J28" s="11" t="inlineStr">
        <is>
          <t>1. 步骤 2 加购 65 件成功，步骤 3 该行数量 = 65、小计 643.50（9.90×65）
2. 步骤 4 累加 65+10=75 超过库存，服务端拒绝，页面不跳转
3. 步骤 5 以购物车页为准，该行数量仍为 65，未变成 75
4. 步骤 6 返回 ok=0、msg=“购买数量超过库存，当前库存 69”
5. 步骤 7 刷新后数量仍为 65，库存未被扣减
6. 步骤 8 输入框失焦后被前端夹到库存上限 69（num &gt;= 库存 时取库存值）
7. 全过程无 500 错误</t>
        </is>
      </c>
      <c r="K28" s="11" t="inlineStr">
        <is>
          <t>第一次加购 65 件成功，/cart/ 显示 1 行、小计 643.50。第二次输入 10 再加购后页面停在详情页未跳转，/cart/ 该行数量确实仍是 65。/cart/add4_999/ 返回 {"ok":0,"count":1,"msg":"购买数量超过库存，当前库存 69"}，刷新后依旧 65。输入 999 失焦后输入框被夹成 69。
补充观察：加购失败后详情页右上角角标显示为 10——该值由加购动画的回调直接写入输入值产生，与服务端结果无关；因此本用例以购物车页数量作为判定依据。此角标显示与真实购物车不一致，建议另立缺陷单跟踪。</t>
        </is>
      </c>
      <c r="L28" s="12" t="inlineStr">
        <is>
          <t>通过</t>
        </is>
      </c>
      <c r="M28" s="7" t="inlineStr">
        <is>
          <t>docs/testing/evidence/C-CART-003-登录成功.png
docs/testing/evidence/C-CART-003-加入65件.png
docs/testing/evidence/C-CART-003-购物车数量65.png
docs/testing/evidence/C-CART-003-二次加购被拒绝.png
docs/testing/evidence/C-CART-003-数量未累加仍为65.png
docs/testing/evidence/C-CART-003-URL传999返回JSON.png
docs/testing/evidence/C-CART-003-刷新后仍为65.png
docs/testing/evidence/C-CART-003-输入框被夹到库存上限.png</t>
        </is>
      </c>
      <c r="N28" s="7" t="n"/>
    </row>
    <row r="29" s="15">
      <c r="A29" s="5" t="inlineStr">
        <is>
          <t>C-CART-004</t>
        </is>
      </c>
      <c r="B29" s="6" t="inlineStr">
        <is>
          <t>C</t>
        </is>
      </c>
      <c r="C29" s="7" t="inlineStr">
        <is>
          <t>C-CART-007</t>
        </is>
      </c>
      <c r="D29" s="7" t="inlineStr">
        <is>
          <t>购物车</t>
        </is>
      </c>
      <c r="E29" s="7" t="inlineStr">
        <is>
          <t>场景法</t>
        </is>
      </c>
      <c r="F29" s="7" t="inlineStr">
        <is>
          <t>修改购物车数量并重新计算小计</t>
        </is>
      </c>
      <c r="G29" s="11" t="inlineStr">
        <is>
          <t>1) 已启动服务，可通过 http://127.0.0.1:8000/ 访问；2) 数据库中已存在账号 test01（密码 123456）；3) 该账号购物车中已有商品编号 4（海南小台芒 9.90 元/500g）数量 1；4) 商品 4 库存 69，改后数量不会超库存；5) 当前浏览器未登录任何账号</t>
        </is>
      </c>
      <c r="H29" s="11" t="inlineStr">
        <is>
          <t>1. 打开 /user/login/，用 test01 / 123456 登录
2. 打开 /cart/，记录该行的小计、“合计(不含运费)”与件数
3. 把该行数量输入框的值由 1 改为 3
4. 点击页面空白处使输入框失焦（触发保存与重算）
5. 观察该行小计、“合计(不含运费)”和件数的变化
6. 按 F5 刷新 /cart/ 页面
7. 重新访问 /cart/，确认数量是否仍为 3</t>
        </is>
      </c>
      <c r="I29" s="13" t="inlineStr">
        <is>
          <t>账号=test01 / 123456；购物车条目编号=页面中商品行的 id 值；修改前数量=1；修改后数量=3；商品单价=9.90 元</t>
        </is>
      </c>
      <c r="J29" s="11" t="inlineStr">
        <is>
          <t>1. 步骤 4 后该行小计由 9.90 变为 29.70（9.90 × 3）
2. “合计(不含运费)”同步变为 29.70，与该行小计一致
3. 件数统计保持为 1（页面统计的是购物车条目数，不是数量之和）
4. 不出现“数量必须是大于0的整数”或“数量不可超过库存”提示
5. 步骤 6/7 刷新后数量仍为 3，说明修改已写入数据库
6. 商品库存不因修改数量而变化</t>
        </is>
      </c>
      <c r="K29" s="11" t="inlineStr">
        <is>
          <t>失焦后该行小计立刻变为 29.70，底部“合计(不含运费)”同步为 29.70，页面没有弹出任何提示。按 F5 以及重新打开 /cart/ 后，数量都还是 3、小计 29.70，确认已落库。“全部商品 1 件”和“共计 1 件商品”两处都保持 1，说明统计口径是条目数而非数量之和。此时商品 4 库存仍为 69，未受修改影响。</t>
        </is>
      </c>
      <c r="L29" s="12" t="inlineStr">
        <is>
          <t>通过</t>
        </is>
      </c>
      <c r="M29" s="7" t="inlineStr">
        <is>
          <t>docs/testing/evidence/C-CART-004-购物车初始状态.png
docs/testing/evidence/C-CART-004-数量改为3.png
docs/testing/evidence/C-CART-004-失焦后小计重算.png
docs/testing/evidence/C-CART-004-合计与件数.png
docs/testing/evidence/C-CART-004-刷新后仍为3.png
docs/testing/evidence/C-CART-004-重开确认已持久化.png</t>
        </is>
      </c>
      <c r="N29" s="7" t="n"/>
    </row>
    <row r="30" s="15">
      <c r="A30" s="5" t="inlineStr">
        <is>
          <t>C-CART-005</t>
        </is>
      </c>
      <c r="B30" s="6" t="inlineStr">
        <is>
          <t>C</t>
        </is>
      </c>
      <c r="C30" s="7" t="inlineStr">
        <is>
          <t>C-CART-008</t>
        </is>
      </c>
      <c r="D30" s="7" t="inlineStr">
        <is>
          <t>购物车</t>
        </is>
      </c>
      <c r="E30" s="7" t="inlineStr">
        <is>
          <t>等价类</t>
        </is>
      </c>
      <c r="F30" s="7" t="inlineStr">
        <is>
          <t>删除自己的购物车条目</t>
        </is>
      </c>
      <c r="G30" s="11" t="inlineStr">
        <is>
          <t>1) 已启动服务，可通过 http://127.0.0.1:8000/ 访问；2) 数据库中已存在账号 test01（密码 123456）；3) 该账号购物车中已有 2 个条目：商品 4（海南小台芒 9.90 元 ×1）、商品 5（鲜活基围虾 28.00 元 ×1）；4) 当前浏览器未登录任何账号</t>
        </is>
      </c>
      <c r="H30" s="11" t="inlineStr">
        <is>
          <t>1. 打开 /user/login/，用 test01 / 123456 登录
2. 打开 /cart/，记录当前行数、件数与“合计(不含运费)”
3. 在“鲜活基围虾”所在行点击【删除】
4. 在弹出的确认框中点击【确定】
5. 观察页面变化，记录删除后的行数与“合计(不含运费)”
6. 按 F5 刷新 /cart/ 页面，确认该行是否重新出现</t>
        </is>
      </c>
      <c r="I30" s="13" t="inlineStr">
        <is>
          <t>账号=test01 / 123456；待删除条目=“鲜活基围虾”所在行（页面中该行的 id 值）；删除前条目数=2；删除后预期条目数=1</t>
        </is>
      </c>
      <c r="J30" s="11" t="inlineStr">
        <is>
          <t>1. 步骤 4 后该行立即从页面消失，无需刷新
2. “合计(不含运费)”由 37.90 变为 9.90（仅剩海南小台芒 1 件）
3. 底部“共计 N 件商品”同步变为 1
4. 步骤 6 刷新后仍只有 1 行，说明数据库中该条目已被真正删除
5. 商品库存不因删除购物车条目而变化
6. 全程无报错提示或 500 页面</t>
        </is>
      </c>
      <c r="K30" s="11" t="inlineStr">
        <is>
          <t>点【删除】并在确认框点【确定】后，“鲜活基围虾”一行立刻消失，合计由 37.90 变成 9.90，底部“共计 1 件商品”同步更新。
但顶部“全部商品 N 件”是服务端渲染值，删除后仍显示 2，按 F5 刷新才变成 1——前端没有同步这一处，属轻微 UI 问题。刷新后仍只有海南小台芒 1 行，说明数据库里确实已删除；商品 4、商品 5 的库存都未变动。</t>
        </is>
      </c>
      <c r="L30" s="12" t="inlineStr">
        <is>
          <t>通过</t>
        </is>
      </c>
      <c r="M30" s="7" t="inlineStr">
        <is>
          <t>docs/testing/evidence/C-CART-005-购物车两行初始.png
docs/testing/evidence/C-CART-005-点击删除弹出确认框.png
docs/testing/evidence/C-CART-005-删除后剩一行.png
docs/testing/evidence/C-CART-005-合计变为9.90.png
docs/testing/evidence/C-CART-005-刷新后仍为一行.png</t>
        </is>
      </c>
      <c r="N30" s="7" t="n"/>
    </row>
    <row r="31" s="15">
      <c r="A31" s="5" t="inlineStr">
        <is>
          <t>C-CART-006</t>
        </is>
      </c>
      <c r="B31" s="6" t="inlineStr">
        <is>
          <t>C</t>
        </is>
      </c>
      <c r="C31" s="7" t="inlineStr">
        <is>
          <t>C-CART-002</t>
        </is>
      </c>
      <c r="D31" s="7" t="inlineStr">
        <is>
          <t>购物车</t>
        </is>
      </c>
      <c r="E31" s="7" t="inlineStr">
        <is>
          <t>等价类</t>
        </is>
      </c>
      <c r="F31" s="7" t="inlineStr">
        <is>
          <t>用户不能修改他人购物车条目</t>
        </is>
      </c>
      <c r="G31" s="11" t="inlineStr">
        <is>
          <t>1) 已启动服务，可通过 http://127.0.0.1:8000/ 访问；2) 数据库中已存在两个账号 test01 / 123456 与 test02 / 123456，两者收货地址均非空；3) test01 购物车已有 1 个条目（商品 4，数量 1），test02 购物车已有 1 个条目（商品 5，数量 1）；4) 准备两个互不共享 Cookie 的浏览器环境（普通窗口 + 隐私窗口，或两个不同浏览器）</t>
        </is>
      </c>
      <c r="H31" s="11" t="inlineStr">
        <is>
          <t>1. 在普通窗口打开 /user/login/，用 test01 / 123456 登录，打开 /cart/
2. 按 F12 打开开发者工具，查看该商品行的 id 属性（ul.cart_list_td），记为 X（test01 的条目编号）
3. 另开隐私窗口，用 test02 / 123456 登录，打开 /cart/，同样记下自己的条目编号 Y
4. 在隐私窗口（test02 会话）地址栏访问 /cart/editX_99/，观察返回的 JSON
5. 在隐私窗口地址栏访问 /cart/deleteX/，观察返回的 JSON
6. 回到普通窗口刷新 /cart/（test01 会话），查看该条目的数量与条目是否还在</t>
        </is>
      </c>
      <c r="I31" s="13" t="inlineStr">
        <is>
          <t>账号 A=test01 / 123456（条目编号 X=7）；账号 B=test02 / 123456（条目编号 Y=8）；越权修改数量=99；越权删除目标=编号 7</t>
        </is>
      </c>
      <c r="J31" s="11" t="inlineStr">
        <is>
          <t>1. 步骤 4 返回 ok=0、msg=“购物车条目不存在”，不返回 ok:1
2. 步骤 5 返回 ok=0、msg=“购物车条目不存在或已被删除”
3. test01 的商品 4 数量仍为 1，既没被改成 99，条目也没被删除
4. test02 自己的条目 Y 完全不受影响
5. 越权请求返回 200 的正常 JSON，不抛 500，响应中不含对方用户的任何数据</t>
        </is>
      </c>
      <c r="K31" s="11" t="inlineStr">
        <is>
          <t>本次 test01 条目编号 X=7，test02 条目编号 Y=8。以 test02 会话访问 /cart/edit7_99/，返回 {"ok":0,"msg":"购物车条目不存在","count":0}；访问 /cart/delete7/，返回 {"ok":0,"msg":"购物车条目不存在或已被删除"}。
回到 test01 会话刷新 /cart/，仍是 1 行、数量 1、合计 9.90，既没被改成 99 也没被删；test02 的 8 号条目同样完好。两次响应里都不包含 test01 的任何数据，说明服务端以 session 里的用户编号判权。</t>
        </is>
      </c>
      <c r="L31" s="12" t="inlineStr">
        <is>
          <t>通过</t>
        </is>
      </c>
      <c r="M31" s="7" t="inlineStr">
        <is>
          <t>docs/testing/evidence/C-CART-006-test01购物车.png
docs/testing/evidence/C-CART-006-查看条目编号X.png
docs/testing/evidence/C-CART-006-test02购物车.png
docs/testing/evidence/C-CART-006-越权修改返回JSON.png
docs/testing/evidence/C-CART-006-越权删除返回JSON.png
docs/testing/evidence/C-CART-006-test01购物车未受影响.png</t>
        </is>
      </c>
      <c r="N31" s="7" t="n"/>
    </row>
    <row r="32" s="15">
      <c r="A32" s="5" t="inlineStr">
        <is>
          <t>C-ORD-001</t>
        </is>
      </c>
      <c r="B32" s="6" t="inlineStr">
        <is>
          <t>C</t>
        </is>
      </c>
      <c r="C32" s="7" t="inlineStr">
        <is>
          <t>C-ORD-001</t>
        </is>
      </c>
      <c r="D32" s="7" t="inlineStr">
        <is>
          <t>订单</t>
        </is>
      </c>
      <c r="E32" s="7" t="inlineStr">
        <is>
          <t>场景法</t>
        </is>
      </c>
      <c r="F32" s="7" t="inlineStr">
        <is>
          <t>从购物车提交订单</t>
        </is>
      </c>
      <c r="G32" s="11" t="inlineStr">
        <is>
          <t>1) 已启动服务，可通过 http://127.0.0.1:8000/ 访问；2) 数据库中已存在账号 test01（密码 123456），其收货地址、收件人、电话均非空；3) 商品 4（海南小台芒 9.90 元，库存 69）与商品 5（鲜活基围虾 28.00 元，库存 45）均在售；4) 该账号购物车已清空；5) 当前浏览器未登录任何账号</t>
        </is>
      </c>
      <c r="H32" s="11" t="inlineStr">
        <is>
          <t>1. 打开 /user/login/，用 test01 / 123456 登录
2. 打开 /4/，数量填 2，点击【加入购物车】两次
3. 打开 /5/，数量填 1，点击【加入购物车】两次
4. 打开 /cart/，确认两行均处于勾选状态，记录“合计(不含运费)”
5. 点击【去结算】
6. 在订单确认页核对：收货地址、收件人、电话、商品列表、总金额、运费、实付款
7. 点击【提交订单】
8. 等待“订单提交成功！”浮层消失，观察跳转到的页面并记录订单号与金额
9. 打开 /cart/，确认购物车状态</t>
        </is>
      </c>
      <c r="I32" s="13" t="inlineStr">
        <is>
          <t>账号=test01 / 123456；购物车条目=商品 4（9.90 元 × 2）+ 商品 5（28.00 元 × 1）；支付方式=默认“货到付款”；收货地址=账号 test01 已保存的地址（湖北省武汉市洪山区珞喻路 1037 号 1 栋 101）</t>
        </is>
      </c>
      <c r="J32" s="11" t="inlineStr">
        <is>
          <t>1. 步骤 4 “合计(不含运费)”= 9.90×2 + 28.00 = 47.80 元
2. 确认页显示 test01 的收货地址、收件人 test01、电话 13800000001
3. 确认页共 2 件、总金额 47.80、运费 10.00 元、实付款 57.80
4. 提交后弹出“订单提交成功！”并跳转 /user/order/1
5. 新增 1 条订单，订单号 18 位，金额 57.80 元，明细 2 行
6. 被结算的 2 个条目从购物车清空
7. 商品 4 库存 69→67，商品 5 库存 45→44</t>
        </is>
      </c>
      <c r="K32" s="11" t="inlineStr">
        <is>
          <t>购物车合计 47.80；确认页总金额 47.80、运费 10.00 元、实付款 57.80，地址区显示“湖北省武汉市洪山区珞喻路1037号 1栋101 收件人：test01 电话：13800000001”。
提交后浮层提示“订单提交成功！”并自动跳转 /user/order/1，新订单号 202609151649225417（18 位），金额 57.80 元，明细为海南小台芒 2 件 19.8 元、鲜活基围虾 1 件 28 元。随后 /cart/ 显示“全部商品 0 件”；查库确认商品 4 库存 67、商品 5 库存 44，与预期扣减一致。</t>
        </is>
      </c>
      <c r="L32" s="12" t="inlineStr">
        <is>
          <t>通过</t>
        </is>
      </c>
      <c r="M32" s="7" t="inlineStr">
        <is>
          <t>docs/testing/evidence/C-ORD-001-加入商品4两件.png
docs/testing/evidence/C-ORD-001-加入商品5一件.png
docs/testing/evidence/C-ORD-001-购物车合计47.80.png
docs/testing/evidence/C-ORD-001-去结算进入确认页.png
docs/testing/evidence/C-ORD-001-确认页收货信息核对.png
docs/testing/evidence/C-ORD-001-提交成功浮层.png
docs/testing/evidence/C-ORD-001-订单列表57.80.png
docs/testing/evidence/C-ORD-001-购物车已清空.png</t>
        </is>
      </c>
      <c r="N32" s="7" t="n"/>
    </row>
    <row r="33" s="15">
      <c r="A33" s="5" t="inlineStr">
        <is>
          <t>C-ORD-002</t>
        </is>
      </c>
      <c r="B33" s="6" t="inlineStr">
        <is>
          <t>C</t>
        </is>
      </c>
      <c r="C33" s="7" t="inlineStr">
        <is>
          <t>C-ORD-003</t>
        </is>
      </c>
      <c r="D33" s="7" t="inlineStr">
        <is>
          <t>订单</t>
        </is>
      </c>
      <c r="E33" s="7" t="inlineStr">
        <is>
          <t>等价类</t>
        </is>
      </c>
      <c r="F33" s="7" t="inlineStr">
        <is>
          <t>无收货地址提交订单</t>
        </is>
      </c>
      <c r="G33" s="11" t="inlineStr">
        <is>
          <t>1) 已启动服务，可通过 http://127.0.0.1:8000/ 访问；2) 数据库中已存在账号 test01（密码 123456）；3) 该账号购物车中至少有 1 个在售商品条目；4) 已记录 test01 的原收货地址，便于测试后复原；5) 当前浏览器未登录任何账号</t>
        </is>
      </c>
      <c r="H33" s="11" t="inlineStr">
        <is>
          <t>1. 打开 /user/login/，用 test01 / 123456 登录
2. 打开 /user/site/，把“收货地址”文本框内容全部删除，点击【修改地址】
3. 打开 /cart/，勾选商品后点击【去结算】
4. 在订单确认页查看“寄送到：”区域中当前地址是否为空
5. 点击【提交订单】
6. 观察浏览器提示与页面跳转
7. 打开 /user/order/1，确认是否新增订单
8. 复原数据：回到 /user/site/ 重新填写原收货地址，点击【修改地址】</t>
        </is>
      </c>
      <c r="I33" s="13" t="inlineStr">
        <is>
          <t>账号=test01 / 123456；收货地址=（清空为空字符串）；购物车条目=商品 4（海南小台芒）× 1</t>
        </is>
      </c>
      <c r="J33" s="11" t="inlineStr">
        <is>
          <t>1. 步骤 2 保存成功，/user/site/ 的“收货地址”框为空
2. 步骤 4 确认页“当前地址：”一栏为空
3. 步骤 5 弹出“请填写正确的收货地址”，并跳转到 /user/site/
4. 步骤 7 未新增任何订单，购物车条目仍然存在且数量不变
5. 商品库存未发生扣减
6. 服务端同样校验：直接请求 /order/push/ 会返回“请先填写收货地址”
7. 步骤 8 复原后地址恢复</t>
        </is>
      </c>
      <c r="K33" s="11" t="inlineStr">
        <is>
          <t>清空地址保存后，确认页“当前地址：”一栏确实为空。点【提交订单】后浏览器弹出“请填写正确的收货地址”，页面随即跳到 /user/site/（提交后 URL 为 /user/site/）。
此时 /user/order/1 仍只有此前 2 条订单，没有新增；购物车里商品 4 的条目和数量都没变，库存也没动。前端校验之外，服务端 order_handle 对空地址还有“请先填写收货地址”的兜底。测试后已把原地址填回并保存。</t>
        </is>
      </c>
      <c r="L33" s="12" t="inlineStr">
        <is>
          <t>通过</t>
        </is>
      </c>
      <c r="M33" s="7" t="inlineStr">
        <is>
          <t>docs/testing/evidence/C-ORD-002-清空收货地址.png
docs/testing/evidence/C-ORD-002-去结算.png
docs/testing/evidence/C-ORD-002-确认页地址为空.png
docs/testing/evidence/C-ORD-002-提示请填写收货地址.png
docs/testing/evidence/C-ORD-002-自动跳转地址页.png
docs/testing/evidence/C-ORD-002-订单列表无新增.png
docs/testing/evidence/C-ORD-002-地址已复原.png</t>
        </is>
      </c>
      <c r="N33" s="7" t="n"/>
    </row>
    <row r="34" s="15">
      <c r="A34" s="5" t="inlineStr">
        <is>
          <t>C-ORD-003</t>
        </is>
      </c>
      <c r="B34" s="6" t="inlineStr">
        <is>
          <t>C</t>
        </is>
      </c>
      <c r="C34" s="7" t="inlineStr">
        <is>
          <t>C-ORD-005</t>
        </is>
      </c>
      <c r="D34" s="7" t="inlineStr">
        <is>
          <t>订单</t>
        </is>
      </c>
      <c r="E34" s="7" t="inlineStr">
        <is>
          <t>边界值</t>
        </is>
      </c>
      <c r="F34" s="7" t="inlineStr">
        <is>
          <t>篡改前端总额后提交订单</t>
        </is>
      </c>
      <c r="G34" s="11" t="inlineStr">
        <is>
          <t>1) 已启动服务，可通过 http://127.0.0.1:8000/ 访问；2) 数据库中已存在账号 test01（密码 123456），收货地址非空；3) 该账号购物车中已有商品 4（海南小台芒 9.90 元）数量 2；4) 商品库存充足；5) 当前浏览器未登录任何账号</t>
        </is>
      </c>
      <c r="H34" s="11" t="inlineStr">
        <is>
          <t>1. 打开 /user/login/，用 test01 / 123456 登录
2. 打开 /cart/，确认数量为 2，点击【去结算】
3. 在确认页记录“总金额”“运费”“实付款”三个数值
4. 按 F12 打开开发者工具，在 Console 中执行：document.querySelector('.total_pay b').textContent = '0.01'
5. 确认页面上“实付款”已被改成 0.01
6. 点击【提交订单】
7. 跳转后打开 /user/order/1，记录该订单显示的金额
8. 刷新 /user/order/1，确认金额是否变化</t>
        </is>
      </c>
      <c r="I34" s="13" t="inlineStr">
        <is>
          <t>账号=test01 / 123456；商品=商品 4（9.90 元）× 2；服务端应得金额= 9.90×2 + 10.00 = 29.80 元；前端篡改值=0.01 元</t>
        </is>
      </c>
      <c r="J34" s="11" t="inlineStr">
        <is>
          <t>1. 步骤 3 确认页显示：总金额 19.80、运费 10.00 元、实付款 29.80
2. 步骤 5 页面“实付款”被改成 0.01（证明前端金额可被用户任意修改）
3. 步骤 6 仍能提交成功，弹出“订单提交成功！”并跳转
4. 步骤 7/8 订单金额显示为 29.80 元而不是 0.01 元，刷新后不变
5. 说明金额由服务器用十进制重算（商品总额 + 10.00 运费），浏览器侧金额不被信任
6. 库存按实际购买数量 2 扣减，与篡改值无关</t>
        </is>
      </c>
      <c r="K34" s="11" t="inlineStr">
        <is>
          <t>确认页三项数值依次为 19.80 / 10.00 元 / 29.80；Console 改掉 .total_pay b 后页面显示 0.01，说明前端金额确实能被用户改。提交成功，新订单号 202609151649496161，订单列表里金额为 29.80 元，刷新后依旧 29.80，与篡改值 0.01 无关。查库商品 4 库存由 67 变为 65，按实际购买 2 件扣减。</t>
        </is>
      </c>
      <c r="L34" s="12" t="inlineStr">
        <is>
          <t>通过</t>
        </is>
      </c>
      <c r="M34" s="7" t="inlineStr">
        <is>
          <t>docs/testing/evidence/C-ORD-003-确认页金额29.80.png
docs/testing/evidence/C-ORD-003-记录三项数值.png
docs/testing/evidence/C-ORD-003-实付款被改为0.01.png
docs/testing/evidence/C-ORD-003-确认篡改生效.png
docs/testing/evidence/C-ORD-003-提交成功.png
docs/testing/evidence/C-ORD-003-订单金额仍为29.80.png
docs/testing/evidence/C-ORD-003-刷新后金额不变.png</t>
        </is>
      </c>
      <c r="N34" s="7" t="n"/>
    </row>
    <row r="35" s="15">
      <c r="A35" s="5" t="inlineStr">
        <is>
          <t>C-ORD-004</t>
        </is>
      </c>
      <c r="B35" s="6" t="inlineStr">
        <is>
          <t>C</t>
        </is>
      </c>
      <c r="C35" s="7" t="inlineStr">
        <is>
          <t>C-INV-003</t>
        </is>
      </c>
      <c r="D35" s="7" t="inlineStr">
        <is>
          <t>库存</t>
        </is>
      </c>
      <c r="E35" s="7" t="inlineStr">
        <is>
          <t>场景法</t>
        </is>
      </c>
      <c r="F35" s="7" t="inlineStr">
        <is>
          <t>库存不足时下单回滚</t>
        </is>
      </c>
      <c r="G35" s="11" t="inlineStr">
        <is>
          <t>1) 已启动服务，可通过 http://127.0.0.1:8000/ 访问；2) 数据库中已存在两个账号 test01 / 123456 与 test02 / 123456，两者收货地址均非空；3) 商品 4（海南小台芒）未逻辑删除，执行到本用例时剩余库存为 64；4) test01 与 test02 的购物车均已清空；5) 准备两个互不共享 Cookie 的浏览器环境（普通窗口 + 隐私窗口）</t>
        </is>
      </c>
      <c r="H35" s="11" t="inlineStr">
        <is>
          <t>1. 普通窗口登录 test01，打开 /4/，数量填 3，点击【加入购物车】两次，再点击【去结算】，停在订单确认页不要提交
2. 隐私窗口登录 test02，打开 /4/，数量填 64（即当前全部剩余库存），点击【加入购物车】两次
3. 在隐私窗口点击【去结算】，再点击【提交订单】，等待“订单提交成功！”提示
4. 在隐私窗口打开 /user/order/1，记录订单号与金额
5. 回到普通窗口（test01 会话），在已打开的订单确认页点击【提交订单】
6. 观察浏览器提示与页面是否跳转
7. 在普通窗口刷新 /cart/，查看购物车条目是否仍然存在
8. 在任意窗口打开 /4/，查看页面显示的库存数</t>
        </is>
      </c>
      <c r="I35" s="13" t="inlineStr">
        <is>
          <t>账号 A=test01 / 123456，购买商品 4 × 3；账号 B=test02 / 123456，购买商品 4 × 64；商品 4 执行前库存=64</t>
        </is>
      </c>
      <c r="J35" s="11" t="inlineStr">
        <is>
          <t>1. 步骤 3 test02 下单成功，订单金额 = 9.90×64 + 10.00 = 643.60 元
2. 步骤 4 test02 订单生成，商品 4 库存由 64 扣减为 0
3. 步骤 5 test01 提交失败，提示“商品“海南小台芒”已下架或库存不足”
4. 步骤 7 test01 购物车中商品 4 的条目仍然存在（数量 3）
5. 步骤 8 库存仍为 0，既不为负也没被二次扣减
6. test01 名下无新增订单，订单 / 明细 / 库存 / 购物车整体回滚
7. 无 500 错误页，提示为用户可理解的中文业务提示</t>
        </is>
      </c>
      <c r="K35" s="11" t="inlineStr">
        <is>
          <t>执行前商品 4 库存 64。test02 加购 64 件，确认页总金额 633.60、实付款 643.60，提交后生成订单202609151650357660，库存归零。
此时在 test01 已打开的确认页点【提交订单】，弹出“商品“海南小台芒”已下架或库存不足”，页面停在 /order/?cart_id=16 没有跳转。回 /cart/ 看到商品 4 仍为 3 件（小计 29.70），/4/ 页面库存显示 0，/user/order/1 里 test01 名下没有新订单——订单、明细、库存、购物车四项都保持在失败前状态，事务确实整体回滚。
补充复核：直接 POST /order/push/ 带回同一条目，服务端返回 {"ok":0,"msg":"商品“海南小台芒”已下架或库存不足"}。</t>
        </is>
      </c>
      <c r="L35" s="12" t="inlineStr">
        <is>
          <t>通过</t>
        </is>
      </c>
      <c r="M35" s="7" t="inlineStr">
        <is>
          <t>docs/testing/evidence/C-ORD-004-test01确认页待提交.png
docs/testing/evidence/C-ORD-004-test02加购买光库存.png
docs/testing/evidence/C-ORD-004-test02下单成功.png
docs/testing/evidence/C-ORD-004-test02订单记录.png
docs/testing/evidence/C-ORD-004-test01提交失败提示.png
docs/testing/evidence/C-ORD-004-失败提示内容.png
docs/testing/evidence/C-ORD-004-test01购物车条目仍在.png
docs/testing/evidence/C-ORD-004-商品4库存为0.png</t>
        </is>
      </c>
      <c r="N35" s="7" t="n"/>
    </row>
    <row r="36" s="15">
      <c r="A36" s="5" t="inlineStr">
        <is>
          <t>C-ORD-005</t>
        </is>
      </c>
      <c r="B36" s="6" t="inlineStr">
        <is>
          <t>C</t>
        </is>
      </c>
      <c r="C36" s="7" t="inlineStr">
        <is>
          <t>C-ORD-006</t>
        </is>
      </c>
      <c r="D36" s="7" t="inlineStr">
        <is>
          <t>订单</t>
        </is>
      </c>
      <c r="E36" s="7" t="inlineStr">
        <is>
          <t>场景法</t>
        </is>
      </c>
      <c r="F36" s="7" t="inlineStr">
        <is>
          <t>连续创建两笔订单编号唯一</t>
        </is>
      </c>
      <c r="G36" s="11" t="inlineStr">
        <is>
          <t>1) 已启动服务，可通过 http://127.0.0.1:8000/ 访问；2) 数据库中已存在账号 test01（密码 123456），收货地址非空；3) 商品 4（9.90 元）与商品 5（28.00 元）均在售且库存充足；4) 该账号购物车已清空；5) 当前浏览器未登录任何账号</t>
        </is>
      </c>
      <c r="H36" s="11" t="inlineStr">
        <is>
          <t>1. 打开 /user/login/，用 test01 / 123456 登录
2. 打开 /4/，数量填 1，点击【加入购物车】两次，点击【去结算】，点击【提交订单】
3. 跳转后记录第一笔订单的订单号与金额，记为 OID1
4. 打开 /5/，数量填 1，点击【加入购物车】两次，点击【去结算】，点击【提交订单】
5. 跳转后记录第二笔订单的订单号与金额，记为 OID2
6. 在 /user/order/1 核对两笔订单是否同时存在（订单列表每页 2 条）
7. 刷新 /user/order/1，确认两笔订单均未丢失或被覆盖</t>
        </is>
      </c>
      <c r="I36" s="13" t="inlineStr">
        <is>
          <t>账号=test01 / 123456；第一笔=商品 4（9.90 元）× 1；第二笔=商品 5（28.00 元）× 1；两笔下单连续进行，间隔尽可能短</t>
        </is>
      </c>
      <c r="J36" s="11" t="inlineStr">
        <is>
          <t>1. 两笔订单均提交成功，各自弹出“订单提交成功！”并跳转
2. OID1 ≠ OID2，两个订单号均为 18 位数字且不为空
3. 第一笔金额 = 9.90 + 10.00 = 19.90 元，第二笔金额 = 28.00 + 10.00 = 38.00 元
4. 订单列表中两笔订单同时存在，各自只含自己的商品明细，互不覆盖
5. 刷新后两笔订单仍完整，说明订单号生成不会产生主键冲突
6. 购物车在两笔下单后均已清空，商品 4 与商品 5 库存各扣减 1</t>
        </is>
      </c>
      <c r="K36" s="11" t="inlineStr">
        <is>
          <t>第一笔订单号 202609151650002382（海南小台芒 1 件，19.90 元）；第二笔 202609151650084219（鲜活基围虾 1 件，38.00 元）。两笔间隔约 8 秒，订单号不同且都是 18 位，列表页两笔并列显示、明细互不串。刷新后仍完整。查库得商品 4 库存 65→64、商品 5 库存 44→43，各扣 1；两笔下单后购物车均已清空。</t>
        </is>
      </c>
      <c r="L36" s="12" t="inlineStr">
        <is>
          <t>通过</t>
        </is>
      </c>
      <c r="M36" s="7" t="inlineStr">
        <is>
          <t>docs/testing/evidence/C-ORD-005-第一笔提交成功.png
docs/testing/evidence/C-ORD-005-第一笔订单19.80.png
docs/testing/evidence/C-ORD-005-第二笔提交成功.png
docs/testing/evidence/C-ORD-005-两笔订单并列.png
docs/testing/evidence/C-ORD-005-核对两笔明细.png
docs/testing/evidence/C-ORD-005-刷新后两笔仍在.png</t>
        </is>
      </c>
      <c r="N36" s="7" t="n"/>
    </row>
    <row r="37" s="15">
      <c r="A37" s="5" t="inlineStr">
        <is>
          <t>C-ORD-006</t>
        </is>
      </c>
      <c r="B37" s="6" t="inlineStr">
        <is>
          <t>C</t>
        </is>
      </c>
      <c r="C37" s="7" t="inlineStr">
        <is>
          <t>C-ORD-010</t>
        </is>
      </c>
      <c r="D37" s="7" t="inlineStr">
        <is>
          <t>订单</t>
        </is>
      </c>
      <c r="E37" s="7" t="inlineStr">
        <is>
          <t>等价类</t>
        </is>
      </c>
      <c r="F37" s="7" t="inlineStr">
        <is>
          <t>无效购物车编号提交订单</t>
        </is>
      </c>
      <c r="G37" s="11" t="inlineStr">
        <is>
          <t>1) 已启动服务，可通过 http://127.0.0.1:8000/ 访问；2) 数据库中已存在账号 test01（密码 123456），收货地址非空；3) 该账号购物车中至少有 1 个在售商品条目；4) 当前浏览器未登录任何账号</t>
        </is>
      </c>
      <c r="H37" s="11" t="inlineStr">
        <is>
          <t>1. 打开 /user/login/，用 test01 / 123456 登录
2. 打开 /cart/，按 F12 查看该商品行的 id 值（ul.cart_list_td），记为 X
3. 在地址栏访问 /order/?cart_id=99999（不存在的编号），观察页面
4. 在地址栏访问 /order/?cart_id=abc（非数字参数），观察页面
5. 在地址栏访问 /order/?cart_id=X（本账号真实编号），观察页面
6. 在地址栏访问 /order/（不带任何参数），观察页面</t>
        </is>
      </c>
      <c r="I37" s="13" t="inlineStr">
        <is>
          <t>账号=test01 / 123456；本账号有效购物车条目编号 X=15；无效参数=99999（不存在）、abc（非数字）、空（不带参数）</t>
        </is>
      </c>
      <c r="J37" s="11" t="inlineStr">
        <is>
          <t>1. 步骤 3 与步骤 4 均正常返回 200 页面，不出现 500 错误
2. 两种无效参数下商品列表为空，显示“购物车中没有可结算的商品，请先返回购物车选择商品。”
3. 两种无效参数下页面不显示【提交订单】按钮，无法继续提交
4. 步骤 5 正常显示商品 X 的明细与金额（只取属于当前登录用户的条目）
5. 步骤 6 同样为空态，不显示【提交订单】按钮
6. 所有带无效参数的请求均未创建订单，也未扣减库存</t>
        </is>
      </c>
      <c r="K37" s="11" t="inlineStr">
        <is>
          <t>本账号有效条目编号 X=15。访问 /order/?cart_id=99999 与 /order/?cart_id=abc 都正常返回 200，页面商品列表为空，总金额区显示“共0件商品，总金额0.00”，下方同时给出空态提示“购物车中没有可结算的商品，请先返回购物车选择商品。”（对应模板中 total_goods_count 与 empty_tip 两处，二者在空态下同时渲染）；正文中没有“提交订单”按钮。不带参数访问 /order/ 结果完全相同。
换成 /order/?cart_id=15 后正常列出海南小台芒 1 件，总金额 9.90、运费 10.00 元、实付款 19.90，并显示【提交订单】。三种无效参数都没有生成订单，库存也未变化。</t>
        </is>
      </c>
      <c r="L37" s="12" t="inlineStr">
        <is>
          <t>通过</t>
        </is>
      </c>
      <c r="M37" s="7" t="inlineStr">
        <is>
          <t>docs/testing/evidence/C-ORD-006-查看条目编号.png
docs/testing/evidence/C-ORD-006-不存在编号99999.png
docs/testing/evidence/C-ORD-006-非数字参数abc.png
docs/testing/evidence/C-ORD-006-有效编号正常显示.png
docs/testing/evidence/C-ORD-006-无参数空态.png</t>
        </is>
      </c>
      <c r="N37" s="7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4"/>
  <cols>
    <col width="16" customWidth="1" style="15" min="1" max="1"/>
    <col width="90" customWidth="1" style="15" min="2" max="2"/>
    <col width="22" customWidth="1" style="15" min="3" max="6"/>
  </cols>
  <sheetData>
    <row r="1">
      <c r="A1" s="8" t="inlineStr">
        <is>
          <t>覆盖矩阵（自动汇总）</t>
        </is>
      </c>
      <c r="B1" s="8" t="inlineStr">
        <is>
          <t>总数</t>
        </is>
      </c>
      <c r="C1" s="8" t="inlineStr">
        <is>
          <t>等价类</t>
        </is>
      </c>
      <c r="D1" s="8" t="inlineStr">
        <is>
          <t>边界值</t>
        </is>
      </c>
      <c r="E1" s="8" t="inlineStr">
        <is>
          <t>场景法</t>
        </is>
      </c>
      <c r="F1" s="8" t="inlineStr">
        <is>
          <t>完成状态</t>
        </is>
      </c>
    </row>
    <row r="2" ht="28" customHeight="1" s="15">
      <c r="A2" s="7" t="inlineStr">
        <is>
          <t>成员 A｜用户与地址</t>
        </is>
      </c>
      <c r="B2" s="7">
        <f>COUNTIF(用例清单!B2:B37,"A")</f>
        <v/>
      </c>
      <c r="C2" s="7">
        <f>COUNTIFS(用例清单!B2:B37,"A",用例清单!E2:E37,"等价类")</f>
        <v/>
      </c>
      <c r="D2" s="7">
        <f>COUNTIFS(用例清单!B2:B37,"A",用例清单!E2:E37,"边界值")</f>
        <v/>
      </c>
      <c r="E2" s="7">
        <f>COUNTIFS(用例清单!B2:B37,"A",用例清单!E2:E37,"场景法")</f>
        <v/>
      </c>
      <c r="F2" s="7" t="inlineStr">
        <is>
          <t>成员补录</t>
        </is>
      </c>
    </row>
    <row r="3" ht="28" customHeight="1" s="15">
      <c r="A3" s="7" t="inlineStr">
        <is>
          <t>成员 B｜商品与搜索</t>
        </is>
      </c>
      <c r="B3" s="7">
        <f>COUNTIF(用例清单!B2:B37,"B")</f>
        <v/>
      </c>
      <c r="C3" s="7">
        <f>COUNTIFS(用例清单!B2:B37,"B",用例清单!E2:E37,"等价类")</f>
        <v/>
      </c>
      <c r="D3" s="7">
        <f>COUNTIFS(用例清单!B2:B37,"B",用例清单!E2:E37,"边界值")</f>
        <v/>
      </c>
      <c r="E3" s="7">
        <f>COUNTIFS(用例清单!B2:B37,"B",用例清单!E2:E37,"场景法")</f>
        <v/>
      </c>
      <c r="F3" s="7" t="inlineStr">
        <is>
          <t>成员补录</t>
        </is>
      </c>
    </row>
    <row r="4" ht="28" customHeight="1" s="15">
      <c r="A4" s="7" t="inlineStr">
        <is>
          <t>成员 C｜购物车与订单</t>
        </is>
      </c>
      <c r="B4" s="7">
        <f>COUNTIF(用例清单!B2:B37,"C")</f>
        <v/>
      </c>
      <c r="C4" s="7">
        <f>COUNTIFS(用例清单!B2:B37,"C",用例清单!E2:E37,"等价类")</f>
        <v/>
      </c>
      <c r="D4" s="7">
        <f>COUNTIFS(用例清单!B2:B37,"C",用例清单!E2:E37,"边界值")</f>
        <v/>
      </c>
      <c r="E4" s="7">
        <f>COUNTIFS(用例清单!B2:B37,"C",用例清单!E2:E37,"场景法")</f>
        <v/>
      </c>
      <c r="F4" s="7" t="inlineStr">
        <is>
          <t>成员补录</t>
        </is>
      </c>
    </row>
    <row r="5">
      <c r="A5" s="9" t="inlineStr">
        <is>
          <t>合计</t>
        </is>
      </c>
      <c r="B5" s="9">
        <f>SUM(B2:B4)</f>
        <v/>
      </c>
      <c r="C5" s="9">
        <f>SUM(C2:C4)</f>
        <v/>
      </c>
      <c r="D5" s="9">
        <f>SUM(D2:D4)</f>
        <v/>
      </c>
      <c r="E5" s="9">
        <f>SUM(E2:E4)</f>
        <v/>
      </c>
      <c r="F5" s="9" t="inlineStr">
        <is>
          <t>目标 ≥30 条</t>
        </is>
      </c>
    </row>
    <row r="7" ht="32" customHeight="1" s="15">
      <c r="A7" s="10" t="inlineStr">
        <is>
          <t>填写顺序</t>
        </is>
      </c>
      <c r="B7" s="2" t="inlineStr">
        <is>
          <t>负责人先补写前置条件、步骤、输入和预期，再执行并填写实际结果、状态、证据路径</t>
        </is>
      </c>
    </row>
    <row r="8" ht="32" customHeight="1" s="15">
      <c r="A8" s="10" t="inlineStr">
        <is>
          <t>方法覆盖</t>
        </is>
      </c>
      <c r="B8" s="2" t="inlineStr">
        <is>
          <t>至少保留两种方法；当前框架已覆盖三种方法</t>
        </is>
      </c>
    </row>
    <row r="9" ht="32" customHeight="1" s="15">
      <c r="A9" s="10" t="inlineStr">
        <is>
          <t>缺陷关联</t>
        </is>
      </c>
      <c r="B9" s="2" t="inlineStr">
        <is>
          <t>失败用例在 N 列填写 D-01、D-02 等缺陷编号</t>
        </is>
      </c>
    </row>
    <row r="10" ht="32" customHeight="1" s="15">
      <c r="A10" s="10" t="inlineStr">
        <is>
          <t>提交前复核</t>
        </is>
      </c>
      <c r="B10" s="2" t="inlineStr">
        <is>
          <t>删除未执行或空字段行前，确保仍有至少 30 条完整人工用例</t>
        </is>
      </c>
    </row>
    <row r="11" ht="32" customHeight="1" s="15">
      <c r="A11" s="10" t="inlineStr">
        <is>
          <t>版本记录</t>
        </is>
      </c>
      <c r="B11" s="2" t="inlineStr">
        <is>
          <t>在 Git 提交中分别由成员使用个人账号提交自己的用例记录和证据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2026-09-15T07:54:38Z</dcterms:created>
  <dcterms:modified xmlns:dcterms="http://purl.org/dc/terms/" xmlns:xsi="http://www.w3.org/2001/XMLSchema-instance" xsi:type="dcterms:W3CDTF">2026-09-15T09:33:29Z</dcterms:modified>
  <cp:lastModifiedBy>xiangxuan huo</cp:lastModifiedBy>
</cp:coreProperties>
</file>