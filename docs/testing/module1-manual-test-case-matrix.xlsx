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HUST\course\软件测试\test\campus-fresh-quality-lab\docs\testing\"/>
    </mc:Choice>
  </mc:AlternateContent>
  <xr:revisionPtr revIDLastSave="0" documentId="13_ncr:1_{650C9143-C788-49F0-98A5-6A8A0D8B8ABE}" xr6:coauthVersionLast="47" xr6:coauthVersionMax="47" xr10:uidLastSave="{00000000-0000-0000-0000-000000000000}"/>
  <bookViews>
    <workbookView xWindow="0" yWindow="360" windowWidth="25820" windowHeight="15500" activeTab="1" xr2:uid="{00000000-000D-0000-FFFF-FFFF00000000}"/>
  </bookViews>
  <sheets>
    <sheet name="填写说明" sheetId="1" r:id="rId1"/>
    <sheet name="用例清单" sheetId="2" r:id="rId2"/>
    <sheet name="覆盖矩阵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4" i="3" l="1"/>
  <c r="D4" i="3"/>
  <c r="C4" i="3"/>
  <c r="B4" i="3"/>
  <c r="E3" i="3"/>
  <c r="D3" i="3"/>
  <c r="C3" i="3"/>
  <c r="B3" i="3"/>
  <c r="E2" i="3"/>
  <c r="D2" i="3"/>
  <c r="D5" i="3" s="1"/>
  <c r="C2" i="3"/>
  <c r="B2" i="3"/>
  <c r="B5" i="3" s="1"/>
  <c r="C5" i="3" l="1"/>
  <c r="E5" i="3"/>
</calcChain>
</file>

<file path=xl/sharedStrings.xml><?xml version="1.0" encoding="utf-8"?>
<sst xmlns="http://schemas.openxmlformats.org/spreadsheetml/2006/main" count="528" uniqueCount="382">
  <si>
    <t>校园鲜达｜模块一人工测试用例记录表</t>
  </si>
  <si>
    <t>用途</t>
  </si>
  <si>
    <t>本表提供 36 条需求覆盖框架，供三位成员按作业要求亲自补写、执行和留存证据。</t>
  </si>
  <si>
    <t>课程边界</t>
  </si>
  <si>
    <t>作业书要求人工测试用例由小组成员自行设计和执行；本表的空白执行字段不能直接作为最终人工记录提交。</t>
  </si>
  <si>
    <t>完成标准</t>
  </si>
  <si>
    <t>至少保留 30 条有效用例；每条补齐前置条件、步骤、输入、预期、实际、结果和证据路径。</t>
  </si>
  <si>
    <t>方法要求</t>
  </si>
  <si>
    <t>至少使用等价类、边界值、场景法中的两类；本表已分配建议方法，成员可依据实际设计调整。</t>
  </si>
  <si>
    <t>证据要求</t>
  </si>
  <si>
    <t>截图或录屏应包含页面/接口结果、账号或数据前置条件、执行时间，并与用例编号一致。</t>
  </si>
  <si>
    <t>分工</t>
  </si>
  <si>
    <t>A：用户、登录、地址；B：商品、搜索、浏览历史；C：购物车、订单、库存。</t>
  </si>
  <si>
    <t>状态填写</t>
  </si>
  <si>
    <t>未执行 / 通过 / 失败 / 阻塞；失败用例必须关联缺陷编号。</t>
  </si>
  <si>
    <t>数据安全</t>
  </si>
  <si>
    <t>仅使用脱敏演示账号和 load_demo_data 生成的演示商品，不填写真实手机号、地址或密码。</t>
  </si>
  <si>
    <t>当前自动化回归基线</t>
  </si>
  <si>
    <t>78 个测试全部通过（以仓库当前版本实际运行结果为准）</t>
  </si>
  <si>
    <t>演示数据</t>
  </si>
  <si>
    <t>6 个分类、24 个商品，可运行 manage.py load_demo_data 幂等加载</t>
  </si>
  <si>
    <t>组长复核</t>
  </si>
  <si>
    <t>合并前检查每位成员是否补齐自己的人工执行字段，并核对 Git 提交作者与用例负责人</t>
  </si>
  <si>
    <t>用例编号</t>
  </si>
  <si>
    <t>负责人</t>
  </si>
  <si>
    <t>需求编号</t>
  </si>
  <si>
    <t>模块</t>
  </si>
  <si>
    <t>设计方法</t>
  </si>
  <si>
    <t>用例名称（成员可修改）</t>
  </si>
  <si>
    <t>前置条件（成员补写）</t>
  </si>
  <si>
    <t>测试步骤（成员补写）</t>
  </si>
  <si>
    <t>输入数据（成员补写）</t>
  </si>
  <si>
    <t>预期结果（成员补写）</t>
  </si>
  <si>
    <t>实际结果（成员执行）</t>
  </si>
  <si>
    <t>状态</t>
  </si>
  <si>
    <t>证据路径</t>
  </si>
  <si>
    <t>缺陷编号</t>
  </si>
  <si>
    <t>A-USER-001</t>
  </si>
  <si>
    <t>A</t>
  </si>
  <si>
    <t>用户/登录</t>
  </si>
  <si>
    <t>等价类</t>
  </si>
  <si>
    <t>合法账号密码登录</t>
  </si>
  <si>
    <t>1) 服务已启动，可访问首页；2) 演示账号 test01 已存在，密码为 123456；3) 当前浏览器未登录。</t>
  </si>
  <si>
    <t>1. 打开 /user/login/
2. 输入用户名 test01 和密码 123456
3. 点击【登录】
4. 观察跳转页面和页面右上角登录状态。</t>
  </si>
  <si>
    <t>用户名=test01；密码=123456。</t>
  </si>
  <si>
    <t>登录成功并跳转首页；页面显示当前登录用户 test01；访问用户中心、购物车等受保护页面不再要求重新登录。</t>
  </si>
  <si>
    <t>A-USER-002</t>
  </si>
  <si>
    <t>错误密码登录</t>
  </si>
  <si>
    <t>1) 服务已启动；2) 演示账号 test01 已存在；3) 当前浏览器未登录。</t>
  </si>
  <si>
    <t>1. 打开 /user/login/
2. 输入用户名 test01 和错误密码 123457
3. 点击【登录】
4. 观察页面提示和当前地址。</t>
  </si>
  <si>
    <t>用户名=test01；密码=123457。</t>
  </si>
  <si>
    <t>停留在登录页并给出密码错误提示；不创建登录会话；不显示调试堆栈或 500 页面。</t>
  </si>
  <si>
    <t>A-USER-003</t>
  </si>
  <si>
    <t>边界值</t>
  </si>
  <si>
    <t>账号为空提交登录</t>
  </si>
  <si>
    <t>1) 服务已启动；2) 当前浏览器未登录。</t>
  </si>
  <si>
    <t>1. 打开 /user/login/
2. 保持用户名为空，输入任意密码
3. 点击【登录】
4. 观察页面提示。</t>
  </si>
  <si>
    <t>用户名=空；密码=123456。</t>
  </si>
  <si>
    <t>系统拒绝登录并提示用户名不存在或要求输入用户名；页面保持可继续输入，不创建登录会话，不出现 500 页面。</t>
  </si>
  <si>
    <t>A-USER-004</t>
  </si>
  <si>
    <t>A-LOGIN-004</t>
  </si>
  <si>
    <t>密码为空提交登录</t>
  </si>
  <si>
    <t>1. 打开 /user/login/
2. 输入用户名 test01，密码保持为空
3. 点击【登录】
4. 观察页面提示。</t>
  </si>
  <si>
    <t>用户名=test01；密码=空。</t>
  </si>
  <si>
    <t>系统拒绝登录并提示密码错误或要求输入密码；不创建登录会话，不出现 500 页面。</t>
  </si>
  <si>
    <t>A-USER-005</t>
  </si>
  <si>
    <t>场景法</t>
  </si>
  <si>
    <t>登录后刷新页面会话保持</t>
  </si>
  <si>
    <t>1. 使用 test01 / 123456 登录
2. 打开 /user/info/
3. 按 F5 刷新页面
4. 再打开 /cart/ 或 /user/order/1
5. 观察登录状态。</t>
  </si>
  <si>
    <t>账号=test01；密码=123456。</t>
  </si>
  <si>
    <t>刷新后会话保持；用户中心、购物车和订单页仍可正常访问，页面持续显示当前用户，不要求重新登录。</t>
  </si>
  <si>
    <t>A-USER-006</t>
  </si>
  <si>
    <t>退出后访问受保护页面</t>
  </si>
  <si>
    <t>1. 使用 test01 / 123456 登录
2. 打开 /user/info/ 确认已登录
3. 点击【退出】
4. 在地址栏访问 /user/info/
5. 观察跳转和登录状态。</t>
  </si>
  <si>
    <t>账号=test01；密码=123456；受保护地址=/user/info/。</t>
  </si>
  <si>
    <t>退出后跳转首页并不再显示已登录用户；再次访问用户中心会进入登录流程，不泄露原用户资料。</t>
  </si>
  <si>
    <t>A-USER-007</t>
  </si>
  <si>
    <t>用户/注册</t>
  </si>
  <si>
    <t>合法新用户注册</t>
  </si>
  <si>
    <t>1) 服务已启动；2) 准备未被占用的用户名、邮箱；3) 当前浏览器未登录。</t>
  </si>
  <si>
    <t>1. 打开 /user/register/
2. 输入新用户名、密码、确认密码和邮箱
3. 点击【注册】
4. 在登录页用新账号登录，观察结果。</t>
  </si>
  <si>
    <t>注册成功后进入登录页或显示登录入口；使用刚注册的账号密码可成功登录；不出现重复用户或服务器错误。</t>
  </si>
  <si>
    <t>A-USER-008</t>
  </si>
  <si>
    <t>重复用户名注册</t>
  </si>
  <si>
    <t>1. 打开 /user/register/
2. 输入用户名 test01 和其他合法注册字段
3. 观察用户名重复提示或提交注册
4. 观察页面结果。</t>
  </si>
  <si>
    <t>系统提示用户名已存在并阻止重复注册，或提交后不创建第二个同名用户；页面不出现 500 错误。</t>
  </si>
  <si>
    <t>A-USER-009</t>
  </si>
  <si>
    <t>注册密码长度边界</t>
  </si>
  <si>
    <t>1) 服务已启动；2) 准备未被占用的用户名和邮箱；3) 当前浏览器未登录。</t>
  </si>
  <si>
    <t>1. 打开 /user/register/
2. 输入合法用户名和邮箱
3. 先输入长度较短的密码并提交
4. 再输入边界长度密码并提交
5. 记录页面校验或注册结果。</t>
  </si>
  <si>
    <t>页面对密码长度给出明确校验结果；合法边界值能够按系统规则完成注册或给出一致提示；不会出现 500 页面或明文泄露密码。</t>
  </si>
  <si>
    <t>A-USER-010</t>
  </si>
  <si>
    <t>用户中心</t>
  </si>
  <si>
    <t>用户中心展示当前用户信息</t>
  </si>
  <si>
    <t>1) 服务已启动；2) 演示账号 test01 已存在并已设置联系方式、收货地址；3) 当前浏览器未登录。</t>
  </si>
  <si>
    <t>1. 使用 test01 / 123456 登录
2. 打开 /user/info/
3. 核对页面用户名、电话、收货地址和最近浏览区
4. 刷新页面后再次核对。</t>
  </si>
  <si>
    <t>A-USER-011</t>
  </si>
  <si>
    <t>收货地址</t>
  </si>
  <si>
    <t>新增完整收货地址</t>
  </si>
  <si>
    <t>1) 服务已启动；2) 演示账号 test01 已存在并可登录；3) 当前浏览器未登录。</t>
  </si>
  <si>
    <t>1. 使用 test01 / 123456 登录
2. 打开 /user/site/
3. 填写收件人、收货地址、邮编和电话
4. 点击【修改地址】
5. 刷新页面并核对已保存字段。</t>
  </si>
  <si>
    <t>地址信息保存成功；刷新后各字段仍显示刚填写的值；后续订单确认页可读取该地址。</t>
  </si>
  <si>
    <t>A-USER-012</t>
  </si>
  <si>
    <t>地址必填字段为空</t>
  </si>
  <si>
    <t>1) 服务已启动；2) 演示账号 test01 已存在并可登录；3) 已记录原地址，便于测试后恢复。</t>
  </si>
  <si>
    <t>1. 使用 test01 / 123456 登录
2. 打开 /user/site/
3. 清空收货地址字段，保留其他字段
4. 点击【修改地址】
5. 访问订单确认页或尝试提交订单
6. 测试后恢复原地址。</t>
  </si>
  <si>
    <t>收货地址=空；其余字段为原值。</t>
  </si>
  <si>
    <t>B-GOODS-001</t>
  </si>
  <si>
    <t>B</t>
  </si>
  <si>
    <t>商品浏览</t>
  </si>
  <si>
    <t>首页按分类展示商品</t>
  </si>
  <si>
    <t>1) 服务已启动；2) 已加载演示商品数据；3) 首页至少存在一个有效分类及商品。</t>
  </si>
  <si>
    <t>1. 打开首页 /
2. 记录首页分类区和每个分类的商品卡片
3. 点击一个分类的【查看更多】
4. 观察列表页内容。</t>
  </si>
  <si>
    <t>首页；任一有效分类。</t>
  </si>
  <si>
    <t>首页按有效分类展示商品；每个分类的展示数量符合页面设计且商品名称、图片、价格可见；进入分类列表后显示该分类商品。</t>
  </si>
  <si>
    <t>B-GOODS-002</t>
  </si>
  <si>
    <t>商品详情展示价格库存和图片</t>
  </si>
  <si>
    <t>1) 服务已启动；2) 已加载演示商品数据；3) 存在库存大于 0 且图片可用的商品。</t>
  </si>
  <si>
    <t>1. 从首页或分类列表点击任一商品
2. 在详情页核对商品名称、图片、单位、单价、库存、简介和详情
3. 刷新页面并再次核对。</t>
  </si>
  <si>
    <t>详情页完整显示商品基本信息；图片正常加载，价格和库存可读；刷新后页面保持可访问，不出现 500 或缺图导致的布局破坏。</t>
  </si>
  <si>
    <t>B-GOODS-003</t>
  </si>
  <si>
    <t>商品库存为零时详情状态</t>
  </si>
  <si>
    <t>1) 服务已启动；2) 存在库存为 0 的演示商品，或已在测试前将一个非关键商品库存改为 0；3) 当前浏览器可访问商品详情页。</t>
  </si>
  <si>
    <t>1. 打开库存为 0 商品的详情页
2. 记录库存显示和【加入购物车】相关状态
3. 尝试将数量设为 1 并加入购物车
4. 观察提示和购物车结果。</t>
  </si>
  <si>
    <t>商品库存=0；加购数量=1。</t>
  </si>
  <si>
    <t>详情页清楚显示库存为 0 或缺货状态；系统拒绝加入购物车并给出可理解提示；购物车不新增该商品，不出现 500 页面。</t>
  </si>
  <si>
    <t>B-GOODS-004</t>
  </si>
  <si>
    <t>逻辑删除商品不出现在列表</t>
  </si>
  <si>
    <t>1) 服务已启动；2) 存在一个已逻辑删除商品，或测试前将非关键商品标记为逻辑删除；3) 已记录该商品名称。</t>
  </si>
  <si>
    <t>1. 打开其所属分类列表
2. 在首页和搜索页查询该商品名称
3. 尝试直接访问该商品详情地址
4. 记录各页面结果。</t>
  </si>
  <si>
    <t>已逻辑删除商品名称和商品编号。</t>
  </si>
  <si>
    <t>逻辑删除商品不出现在首页、分类列表和搜索结果；直接访问不会作为可购买商品展示，并返回友好提示或安全页面。</t>
  </si>
  <si>
    <t>B-GOODS-005</t>
  </si>
  <si>
    <t>搜索</t>
  </si>
  <si>
    <t>按完整关键词搜索商品</t>
  </si>
  <si>
    <t>1) 服务已启动；2) 已加载演示商品数据；3) 当前浏览器可访问首页。</t>
  </si>
  <si>
    <t>1. 在首页搜索框输入完整商品名称
2. 点击【搜索】
3. 记录结果页商品名称和结果数量。</t>
  </si>
  <si>
    <t>结果页显示名称匹配的有效商品；关键词在结果页可识别；不出现无关的已删除商品或 500 页面。</t>
  </si>
  <si>
    <t>B-GOODS-006</t>
  </si>
  <si>
    <t>按部分关键词搜索商品</t>
  </si>
  <si>
    <t>1. 在首页搜索框输入商品名称的一部分
2. 点击【搜索】
3. 记录匹配商品及页面结果。</t>
  </si>
  <si>
    <t>搜索结果包含名称、简介或详情中匹配关键词的有效商品；结果页面可正常浏览，不出现异常。</t>
  </si>
  <si>
    <t>B-GOODS-007</t>
  </si>
  <si>
    <t>空关键词搜索</t>
  </si>
  <si>
    <t>1) 服务已启动；2) 当前浏览器可访问首页。</t>
  </si>
  <si>
    <t>1. 保持搜索框为空
2. 点击【搜索】
3. 观察页面提示、结果页或推荐内容。</t>
  </si>
  <si>
    <t>关键词=空字符串或仅空格。</t>
  </si>
  <si>
    <t>系统对空关键词给出明确提示、空结果或既定推荐内容；页面不出现 500 错误、调试堆栈或无意义查询。</t>
  </si>
  <si>
    <t>B-GOODS-008</t>
  </si>
  <si>
    <t>超长关键词搜索</t>
  </si>
  <si>
    <t>1. 在搜索框输入超长文本
2. 点击【搜索】
3. 观察页面响应和结果。</t>
  </si>
  <si>
    <t>关键词=重复字符组成的 200 个字符文本。</t>
  </si>
  <si>
    <t>系统将超长关键词作为普通文本处理；返回可理解的空结果或搜索结果，不出现 500 错误、脚本执行或页面布局崩坏。</t>
  </si>
  <si>
    <t>B-GOODS-009</t>
  </si>
  <si>
    <t>浏览历史</t>
  </si>
  <si>
    <t>登录用户浏览商品后记录历史</t>
  </si>
  <si>
    <t>1) 服务已启动；2) 演示账号 test01 已存在；3) 当前浏览器未登录；4) 已加载演示商品数据。</t>
  </si>
  <si>
    <t>1. 使用 test01 / 123456 登录
2. 依次打开两个不同商品详情页
3. 打开 /user/info/
4. 观察最近浏览区域中的商品。</t>
  </si>
  <si>
    <t>账号=test01；商品编号=22、23 或两个当前可访问的有效商品。</t>
  </si>
  <si>
    <t>已登录用户访问商品详情后，用户中心显示最近浏览记录；记录属于当前用户且包含刚浏览的商品，排序符合最近访问顺序。</t>
  </si>
  <si>
    <t>B-GOODS-010</t>
  </si>
  <si>
    <t>重复浏览同一商品历史去重或更新</t>
  </si>
  <si>
    <t>1) 服务已启动；2) 演示账号 test01 已存在；3) 已登录 test01；4) 已加载演示商品数据。</t>
  </si>
  <si>
    <t>1. 打开某一有效商品详情页
2. 返回首页后再次打开同一详情页
3. 打开 /user/info/
4. 查看最近浏览列表中该商品的记录数和位置。</t>
  </si>
  <si>
    <t>账号=test01；同一商品连续访问 2 次。</t>
  </si>
  <si>
    <t>同一用户对同一商品只保留一条最近浏览记录，重复访问后该记录更新时间并位于较前位置；不产生重复行。</t>
  </si>
  <si>
    <t>B-GOODS-011</t>
  </si>
  <si>
    <t>未登录用户访问历史页</t>
  </si>
  <si>
    <t>1. 直接访问 /user/info/
2. 观察跳转或页面内容
3. 返回首页，确认未显示他人浏览历史。</t>
  </si>
  <si>
    <t>未登录会话；地址=/user/info/。</t>
  </si>
  <si>
    <t>未登录用户不能查看个人浏览历史；系统进入登录流程或显示受保护页面提示，不泄露任何其他用户记录。</t>
  </si>
  <si>
    <t>B-GOODS-012</t>
  </si>
  <si>
    <t>无效商品编号访问详情</t>
  </si>
  <si>
    <t>1) 服务已启动；2) 当前浏览器可访问商品详情页。</t>
  </si>
  <si>
    <t>1. 在地址栏访问一个不存在的商品编号详情页
2. 观察 HTTP 页面内容和浏览器地址
3. 返回首页确认应用仍可继续使用。</t>
  </si>
  <si>
    <t>商品编号=99999。</t>
  </si>
  <si>
    <t>系统返回友好提示、404 或安全空页面；不展示调试堆栈或 500 错误；首页和其他商品页面仍可正常访问。</t>
  </si>
  <si>
    <t>C-CART-001</t>
  </si>
  <si>
    <t>C</t>
  </si>
  <si>
    <t>C-CART-006</t>
  </si>
  <si>
    <t>购物车</t>
  </si>
  <si>
    <t>登录用户加入商品并查看购物车</t>
  </si>
  <si>
    <t>1) 已启动服务，可通过 http://127.0.0.1:8000/ 访问；2) 数据库中已存在账号 test01（密码 123456），且该账号购物车为空；3) 目标商品未被逻辑删除、所属分类有效、库存 ≥ 1；4) 当前浏览器未登录任何账号</t>
  </si>
  <si>
    <t>1. 打开 /user/login/，输入用户名 test01、密码 123456，点击【登录】
2. 确认页面跳转到首页 /
3. 打开目标商品详情页 /4/
4. 在数量输入框填入 1，点击【加入购物车】
5. 打开购物车页 /cart/</t>
  </si>
  <si>
    <t>账号=test01 / 123456；商品编号=4；加购数量=1</t>
  </si>
  <si>
    <t>1. 步骤 2 后跳转到首页，右上角显示已登录
2. 购物车页出现 1 行商品，名称 = 海南小台芒
3. 该行数量 = 1
4. 该行商品单价 = 9.90 元/500g
5. 该行“小计” = 单价 × 数量 = 9.90 元
6. “合计(不含运费)” = 9.90 元，与第 5 项一致
7. 页面顶部显示“全部商品 1 件”，结算区显示“共计 1 件商品”（两处统计的都是购物车条目数）</t>
  </si>
  <si>
    <t>通过</t>
  </si>
  <si>
    <t>docs/testing/evidence/C-CART-001-加购后购物车.png</t>
  </si>
  <si>
    <t>C-CART-002</t>
  </si>
  <si>
    <t>C-CART-004</t>
  </si>
  <si>
    <t>加入数量为零或负数</t>
  </si>
  <si>
    <t>1) 已启动服务，可通过 http://127.0.0.1:8000/ 访问；2) 数据库中已存在账号 test01（密码 123456），且该账号购物车已清空；3) 商品编号 4（海南小台芒）未逻辑删除、所属分类有效，当前库存 69；4) 当前浏览器未登录任何账号</t>
  </si>
  <si>
    <t>1. 打开 /user/login/，输入用户名 test01、密码 123456，点击【登录】
2. 打开商品详情页 /4/，确认页面显示的库存数量
3. 连续点击数量框旁的【-】三次，观察数量框的最终值
4. 在地址栏直接访问 /cart/add4_0/，观察页面返回的 JSON
5. 在地址栏直接访问 /cart/add4_-1/，观察页面响应
6. 打开购物车页 /cart/，确认购物车内容</t>
  </si>
  <si>
    <t>账号=test01 / 123456；商品编号=4；加购数量=0 与 -1（以 URL 直接传入）；点击减号次数=3</t>
  </si>
  <si>
    <t>1. 步骤 3 后数量框最小值为 1，继续点击【-】不会降到 0 或负数
2. 步骤 4 返回 JSON：ok=0、msg=“购买数量必须是大于 0 的整数”，页面不发生跳转
3. 步骤 5 返回 HTTP 404（URL 规则只接受数字，负数匹配不到路由）
4. 步骤 6 购物车为空，未新增任何商品行
5. 三次非法请求都给出明确响应，不出现 500 错误页</t>
  </si>
  <si>
    <t>执行时商品 4 库存为 69，详情页“库  存：69”。连点 3 次【-】后输入框停在 1，不再下降。地址栏访问 /cart/add4_0/ 直接返回 {"ok":0,"msg":"购买数量必须是大于 0 的整数","count":0}；/cart/add4_-1/ 返回 Django 的“Page not found (404)”调试页（DEBUG=True 时才会展示该页）。回到 /cart/ 显示“全部商品 0 件”、合计 0.00。三次非法请求均未写入任何数据，也没有触发服务端异常。</t>
  </si>
  <si>
    <t>docs/testing/evidence/C-CART-002-登录成功.png
docs/testing/evidence/C-CART-002-详情页库存69.png
docs/testing/evidence/C-CART-002-连点减号数量保持1.png
docs/testing/evidence/C-CART-002-加购数量0返回JSON.png
docs/testing/evidence/C-CART-002-负数参数返回404.png
docs/testing/evidence/C-CART-002-购物车仍为空.png</t>
  </si>
  <si>
    <t>C-CART-003</t>
  </si>
  <si>
    <t>加入数量超过库存</t>
  </si>
  <si>
    <t>1) 已启动服务，可通过 http://127.0.0.1:8000/ 访问；2) 数据库中已存在账号 test01（密码 123456），且该账号购物车已清空；3) 商品编号 4（海南小台芒）当前库存 69、未逻辑删除；4) 当前浏览器未登录任何账号</t>
  </si>
  <si>
    <t>1. 打开 /user/login/，用 test01 / 123456 登录
2. 打开 /4/，在数量框输入 65，点击【加入购物车】两次（第一次只触发动画，第二次才真正提交，不要点第三次）
3. 打开 /cart/，记录该商品行的数量与小计
4. 再次打开 /4/，在数量框输入 10，点击【加入购物车】两次，观察是否跳转
5. 打开 /cart/，记录该商品行的数量
6. 在地址栏直接访问 /cart/add4_999/，观察页面返回的 JSON
7. 刷新 /cart/，再次记录该商品行的数量
8. 在 /4/ 的数量框输入 999 后点击页面空白处使输入框失焦，观察输入框最终值</t>
  </si>
  <si>
    <t>账号=test01 / 123456；商品编号=4；第一次加购数量=65；第二次加购数量=10；URL 直传数量=999；商品当前库存=69</t>
  </si>
  <si>
    <t>1. 步骤 2 加购 65 件成功，步骤 3 该行数量 = 65、小计 643.50（9.90×65）
2. 步骤 4 累加 65+10=75 超过库存，服务端拒绝，页面不跳转
3. 步骤 5 以购物车页为准，该行数量仍为 65，未变成 75
4. 步骤 6 返回 ok=0、msg=“购买数量超过库存，当前库存 69”
5. 步骤 7 刷新后数量仍为 65，库存未被扣减
6. 步骤 8 输入框失焦后被前端夹到库存上限 69（num &gt;= 库存 时取库存值）
7. 全过程无 500 错误</t>
  </si>
  <si>
    <t>第一次加购 65 件成功，/cart/ 显示 1 行、小计 643.50。第二次输入 10 再加购后页面停在详情页未跳转，/cart/ 该行数量确实仍是 65。/cart/add4_999/ 返回 {"ok":0,"count":1,"msg":"购买数量超过库存，当前库存 69"}，刷新后依旧 65。输入 999 失焦后输入框被夹成 69。
补充观察：加购失败后详情页右上角角标显示为 10——该值由加购动画的回调直接写入输入值产生，与服务端结果无关；因此本用例以购物车页数量作为判定依据。此角标显示与真实购物车不一致，建议另立缺陷单跟踪。</t>
  </si>
  <si>
    <t>docs/testing/evidence/C-CART-003-登录成功.png
docs/testing/evidence/C-CART-003-加入65件.png
docs/testing/evidence/C-CART-003-购物车数量65.png
docs/testing/evidence/C-CART-003-二次加购被拒绝.png
docs/testing/evidence/C-CART-003-数量未累加仍为65.png
docs/testing/evidence/C-CART-003-URL传999返回JSON.png
docs/testing/evidence/C-CART-003-刷新后仍为65.png
docs/testing/evidence/C-CART-003-输入框被夹到库存上限.png</t>
  </si>
  <si>
    <t>C-CART-007</t>
  </si>
  <si>
    <t>修改购物车数量并重新计算小计</t>
  </si>
  <si>
    <t>1) 已启动服务，可通过 http://127.0.0.1:8000/ 访问；2) 数据库中已存在账号 test01（密码 123456）；3) 该账号购物车中已有商品编号 4（海南小台芒 9.90 元/500g）数量 1；4) 商品 4 库存 69，改后数量不会超库存；5) 当前浏览器未登录任何账号</t>
  </si>
  <si>
    <t>1. 打开 /user/login/，用 test01 / 123456 登录
2. 打开 /cart/，记录该行的小计、“合计(不含运费)”与件数
3. 把该行数量输入框的值由 1 改为 3
4. 点击页面空白处使输入框失焦（触发保存与重算）
5. 观察该行小计、“合计(不含运费)”和件数的变化
6. 按 F5 刷新 /cart/ 页面
7. 重新访问 /cart/，确认数量是否仍为 3</t>
  </si>
  <si>
    <t>账号=test01 / 123456；购物车条目编号=页面中商品行的 id 值；修改前数量=1；修改后数量=3；商品单价=9.90 元</t>
  </si>
  <si>
    <t>失焦后该行小计立刻变为 29.70，底部“合计(不含运费)”同步为 29.70，页面没有弹出任何提示。按 F5 以及重新打开 /cart/ 后，数量都还是 3、小计 29.70，确认已落库。“全部商品 1 件”和“共计 1 件商品”两处都保持 1，说明统计口径是条目数而非数量之和。此时商品 4 库存仍为 69，未受修改影响。</t>
  </si>
  <si>
    <t>docs/testing/evidence/C-CART-004-购物车初始状态.png
docs/testing/evidence/C-CART-004-数量改为3.png
docs/testing/evidence/C-CART-004-失焦后小计重算.png
docs/testing/evidence/C-CART-004-合计与件数.png
docs/testing/evidence/C-CART-004-刷新后仍为3.png
docs/testing/evidence/C-CART-004-重开确认已持久化.png</t>
  </si>
  <si>
    <t>C-CART-005</t>
  </si>
  <si>
    <t>C-CART-008</t>
  </si>
  <si>
    <t>删除自己的购物车条目</t>
  </si>
  <si>
    <t>1) 已启动服务，可通过 http://127.0.0.1:8000/ 访问；2) 数据库中已存在账号 test01（密码 123456）；3) 该账号购物车中已有 2 个条目：商品 4（海南小台芒 9.90 元 ×1）、商品 5（鲜活基围虾 28.00 元 ×1）；4) 当前浏览器未登录任何账号</t>
  </si>
  <si>
    <t>1. 打开 /user/login/，用 test01 / 123456 登录
2. 打开 /cart/，记录当前行数、件数与“合计(不含运费)”
3. 在“鲜活基围虾”所在行点击【删除】
4. 在弹出的确认框中点击【确定】
5. 观察页面变化，记录删除后的行数与“合计(不含运费)”
6. 按 F5 刷新 /cart/ 页面，确认该行是否重新出现</t>
  </si>
  <si>
    <t>账号=test01 / 123456；待删除条目=“鲜活基围虾”所在行（页面中该行的 id 值）；删除前条目数=2；删除后预期条目数=1</t>
  </si>
  <si>
    <t>1. 步骤 4 后该行立即从页面消失，无需刷新
2. “合计(不含运费)”由 37.90 变为 9.90（仅剩海南小台芒 1 件）
3. 底部“共计 N 件商品”同步变为 1
4. 步骤 6 刷新后仍只有 1 行，说明数据库中该条目已被真正删除
5. 商品库存不因删除购物车条目而变化
6. 全程无报错提示或 500 页面</t>
  </si>
  <si>
    <t>点【删除】并在确认框点【确定】后，“鲜活基围虾”一行立刻消失，合计由 37.90 变成 9.90，底部“共计 1 件商品”同步更新。
但顶部“全部商品 N 件”是服务端渲染值，删除后仍显示 2，按 F5 刷新才变成 1——前端没有同步这一处，属轻微 UI 问题。刷新后仍只有海南小台芒 1 行，说明数据库里确实已删除；商品 4、商品 5 的库存都未变动。</t>
  </si>
  <si>
    <t>docs/testing/evidence/C-CART-005-购物车两行初始.png
docs/testing/evidence/C-CART-005-点击删除弹出确认框.png
docs/testing/evidence/C-CART-005-删除后剩一行.png
docs/testing/evidence/C-CART-005-合计变为9.90.png
docs/testing/evidence/C-CART-005-刷新后仍为一行.png</t>
  </si>
  <si>
    <t>用户不能修改他人购物车条目</t>
  </si>
  <si>
    <t>1) 已启动服务，可通过 http://127.0.0.1:8000/ 访问；2) 数据库中已存在两个账号 test01 / 123456 与 test02 / 123456，两者收货地址均非空；3) test01 购物车已有 1 个条目（商品 4，数量 1），test02 购物车已有 1 个条目（商品 5，数量 1）；4) 准备两个互不共享 Cookie 的浏览器环境（普通窗口 + 隐私窗口，或两个不同浏览器）</t>
  </si>
  <si>
    <t>1. 在普通窗口打开 /user/login/，用 test01 / 123456 登录，打开 /cart/
2. 按 F12 打开开发者工具，查看该商品行的 id 属性（ul.cart_list_td），记为 X（test01 的条目编号）
3. 另开隐私窗口，用 test02 / 123456 登录，打开 /cart/，同样记下自己的条目编号 Y
4. 在隐私窗口（test02 会话）地址栏访问 /cart/editX_99/，观察返回的 JSON
5. 在隐私窗口地址栏访问 /cart/deleteX/，观察返回的 JSON
6. 回到普通窗口刷新 /cart/（test01 会话），查看该条目的数量与条目是否还在</t>
  </si>
  <si>
    <t>账号 A=test01 / 123456（条目编号 X=7）；账号 B=test02 / 123456（条目编号 Y=8）；越权修改数量=99；越权删除目标=编号 7</t>
  </si>
  <si>
    <t>1. 步骤 4 返回 ok=0、msg=“购物车条目不存在”，不返回 ok:1
2. 步骤 5 返回 ok=0、msg=“购物车条目不存在或已被删除”
3. test01 的商品 4 数量仍为 1，既没被改成 99，条目也没被删除
4. test02 自己的条目 Y 完全不受影响
5. 越权请求返回 200 的正常 JSON，不抛 500，响应中不含对方用户的任何数据</t>
  </si>
  <si>
    <t>本次 test01 条目编号 X=7，test02 条目编号 Y=8。以 test02 会话访问 /cart/edit7_99/，返回 {"ok":0,"msg":"购物车条目不存在","count":0}；访问 /cart/delete7/，返回 {"ok":0,"msg":"购物车条目不存在或已被删除"}。
回到 test01 会话刷新 /cart/，仍是 1 行、数量 1、合计 9.90，既没被改成 99 也没被删；test02 的 8 号条目同样完好。两次响应里都不包含 test01 的任何数据，说明服务端以 session 里的用户编号判权。</t>
  </si>
  <si>
    <t>docs/testing/evidence/C-CART-006-test01购物车.png
docs/testing/evidence/C-CART-006-查看条目编号X.png
docs/testing/evidence/C-CART-006-test02购物车.png
docs/testing/evidence/C-CART-006-越权修改返回JSON.png
docs/testing/evidence/C-CART-006-越权删除返回JSON.png
docs/testing/evidence/C-CART-006-test01购物车未受影响.png</t>
  </si>
  <si>
    <t>C-ORD-001</t>
  </si>
  <si>
    <t>订单</t>
  </si>
  <si>
    <t>从购物车提交订单</t>
  </si>
  <si>
    <t>1) 已启动服务，可通过 http://127.0.0.1:8000/ 访问；2) 数据库中已存在账号 test01（密码 123456），其收货地址、收件人、电话均非空；3) 商品 4（海南小台芒 9.90 元，库存 69）与商品 5（鲜活基围虾 28.00 元，库存 45）均在售；4) 该账号购物车已清空；5) 当前浏览器未登录任何账号</t>
  </si>
  <si>
    <t>1. 打开 /user/login/，用 test01 / 123456 登录
2. 打开 /4/，数量填 2，点击【加入购物车】两次
3. 打开 /5/，数量填 1，点击【加入购物车】两次
4. 打开 /cart/，确认两行均处于勾选状态，记录“合计(不含运费)”
5. 点击【去结算】
6. 在订单确认页核对：收货地址、收件人、电话、商品列表、总金额、运费、实付款
7. 点击【提交订单】
8. 等待“订单提交成功！”浮层消失，观察跳转到的页面并记录订单号与金额
9. 打开 /cart/，确认购物车状态</t>
  </si>
  <si>
    <t>账号=test01 / 123456；购物车条目=商品 4（9.90 元 × 2）+ 商品 5（28.00 元 × 1）；支付方式=默认“货到付款”；收货地址=账号 test01 已保存的地址（湖北省武汉市洪山区珞喻路 1037 号 1 栋 101）</t>
  </si>
  <si>
    <t>1. 步骤 4 “合计(不含运费)”= 9.90×2 + 28.00 = 47.80 元
2. 确认页显示 test01 的收货地址、收件人 test01、电话 13800000001
3. 确认页共 2 件、总金额 47.80、运费 10.00 元、实付款 57.80
4. 提交后弹出“订单提交成功！”并跳转 /user/order/1
5. 新增 1 条订单，订单号 18 位，金额 57.80 元，明细 2 行
6. 被结算的 2 个条目从购物车清空
7. 商品 4 库存 69→67，商品 5 库存 45→44</t>
  </si>
  <si>
    <t>购物车合计 47.80；确认页总金额 47.80、运费 10.00 元、实付款 57.80，地址区显示“湖北省武汉市洪山区珞喻路1037号 1栋101 收件人：test01 电话：13800000001”。
提交后浮层提示“订单提交成功！”并自动跳转 /user/order/1，新订单号 202609151649225417（18 位），金额 57.80 元，明细为海南小台芒 2 件 19.8 元、鲜活基围虾 1 件 28 元。随后 /cart/ 显示“全部商品 0 件”；查库确认商品 4 库存 67、商品 5 库存 44，与预期扣减一致。</t>
  </si>
  <si>
    <t>docs/testing/evidence/C-ORD-001-加入商品4两件.png
docs/testing/evidence/C-ORD-001-加入商品5一件.png
docs/testing/evidence/C-ORD-001-购物车合计47.80.png
docs/testing/evidence/C-ORD-001-去结算进入确认页.png
docs/testing/evidence/C-ORD-001-确认页收货信息核对.png
docs/testing/evidence/C-ORD-001-提交成功浮层.png
docs/testing/evidence/C-ORD-001-订单列表57.80.png
docs/testing/evidence/C-ORD-001-购物车已清空.png</t>
  </si>
  <si>
    <t>C-ORD-002</t>
  </si>
  <si>
    <t>C-ORD-003</t>
  </si>
  <si>
    <t>无收货地址提交订单</t>
  </si>
  <si>
    <t>1) 已启动服务，可通过 http://127.0.0.1:8000/ 访问；2) 数据库中已存在账号 test01（密码 123456）；3) 该账号购物车中至少有 1 个在售商品条目；4) 已记录 test01 的原收货地址，便于测试后复原；5) 当前浏览器未登录任何账号</t>
  </si>
  <si>
    <t>1. 打开 /user/login/，用 test01 / 123456 登录
2. 打开 /user/site/，把“收货地址”文本框内容全部删除，点击【修改地址】
3. 打开 /cart/，勾选商品后点击【去结算】
4. 在订单确认页查看“寄送到：”区域中当前地址是否为空
5. 点击【提交订单】
6. 观察浏览器提示与页面跳转
7. 打开 /user/order/1，确认是否新增订单
8. 复原数据：回到 /user/site/ 重新填写原收货地址，点击【修改地址】</t>
  </si>
  <si>
    <t>账号=test01 / 123456；收货地址=（清空为空字符串）；购物车条目=商品 4（海南小台芒）× 1</t>
  </si>
  <si>
    <t>1. 步骤 2 保存成功，/user/site/ 的“收货地址”框为空
2. 步骤 4 确认页“当前地址：”一栏为空
3. 步骤 5 弹出“请填写正确的收货地址”，并跳转到 /user/site/
4. 步骤 7 未新增任何订单，购物车条目仍然存在且数量不变
5. 商品库存未发生扣减
6. 服务端同样校验：直接请求 /order/push/ 会返回“请先填写收货地址”
7. 步骤 8 复原后地址恢复</t>
  </si>
  <si>
    <t>清空地址保存后，确认页“当前地址：”一栏确实为空。点【提交订单】后浏览器弹出“请填写正确的收货地址”，页面随即跳到 /user/site/（提交后 URL 为 /user/site/）。
此时 /user/order/1 仍只有此前 2 条订单，没有新增；购物车里商品 4 的条目和数量都没变，库存也没动。前端校验之外，服务端 order_handle 对空地址还有“请先填写收货地址”的兜底。测试后已把原地址填回并保存。</t>
  </si>
  <si>
    <t>docs/testing/evidence/C-ORD-002-清空收货地址.png
docs/testing/evidence/C-ORD-002-去结算.png
docs/testing/evidence/C-ORD-002-确认页地址为空.png
docs/testing/evidence/C-ORD-002-提示请填写收货地址.png
docs/testing/evidence/C-ORD-002-自动跳转地址页.png
docs/testing/evidence/C-ORD-002-订单列表无新增.png
docs/testing/evidence/C-ORD-002-地址已复原.png</t>
  </si>
  <si>
    <t>C-ORD-005</t>
  </si>
  <si>
    <t>篡改前端总额后提交订单</t>
  </si>
  <si>
    <t>1) 已启动服务，可通过 http://127.0.0.1:8000/ 访问；2) 数据库中已存在账号 test01（密码 123456），收货地址非空；3) 该账号购物车中已有商品 4（海南小台芒 9.90 元）数量 2；4) 商品库存充足；5) 当前浏览器未登录任何账号</t>
  </si>
  <si>
    <t>1. 打开 /user/login/，用 test01 / 123456 登录
2. 打开 /cart/，确认数量为 2，点击【去结算】
3. 在确认页记录“总金额”“运费”“实付款”三个数值
4. 按 F12 打开开发者工具，在 Console 中执行：document.querySelector('.total_pay b').textContent = '0.01'
5. 确认页面上“实付款”已被改成 0.01
6. 点击【提交订单】
7. 跳转后打开 /user/order/1，记录该订单显示的金额
8. 刷新 /user/order/1，确认金额是否变化</t>
  </si>
  <si>
    <t>账号=test01 / 123456；商品=商品 4（9.90 元）× 2；服务端应得金额= 9.90×2 + 10.00 = 29.80 元；前端篡改值=0.01 元</t>
  </si>
  <si>
    <t>1. 步骤 3 确认页显示：总金额 19.80、运费 10.00 元、实付款 29.80
2. 步骤 5 页面“实付款”被改成 0.01（证明前端金额可被用户任意修改）
3. 步骤 6 仍能提交成功，弹出“订单提交成功！”并跳转
4. 步骤 7/8 订单金额显示为 29.80 元而不是 0.01 元，刷新后不变
5. 说明金额由服务器用十进制重算（商品总额 + 10.00 运费），浏览器侧金额不被信任
6. 库存按实际购买数量 2 扣减，与篡改值无关</t>
  </si>
  <si>
    <t>确认页三项数值依次为 19.80 / 10.00 元 / 29.80；Console 改掉 .total_pay b 后页面显示 0.01，说明前端金额确实能被用户改。提交成功，新订单号 202609151649496161，订单列表里金额为 29.80 元，刷新后依旧 29.80，与篡改值 0.01 无关。查库商品 4 库存由 67 变为 65，按实际购买 2 件扣减。</t>
  </si>
  <si>
    <t>docs/testing/evidence/C-ORD-003-确认页金额29.80.png
docs/testing/evidence/C-ORD-003-记录三项数值.png
docs/testing/evidence/C-ORD-003-实付款被改为0.01.png
docs/testing/evidence/C-ORD-003-确认篡改生效.png
docs/testing/evidence/C-ORD-003-提交成功.png
docs/testing/evidence/C-ORD-003-订单金额仍为29.80.png
docs/testing/evidence/C-ORD-003-刷新后金额不变.png</t>
  </si>
  <si>
    <t>C-ORD-004</t>
  </si>
  <si>
    <t>C-INV-003</t>
  </si>
  <si>
    <t>库存</t>
  </si>
  <si>
    <t>库存不足时下单回滚</t>
  </si>
  <si>
    <t>1) 已启动服务，可通过 http://127.0.0.1:8000/ 访问；2) 数据库中已存在两个账号 test01 / 123456 与 test02 / 123456，两者收货地址均非空；3) 商品 4（海南小台芒）未逻辑删除，执行到本用例时剩余库存为 64；4) test01 与 test02 的购物车均已清空；5) 准备两个互不共享 Cookie 的浏览器环境（普通窗口 + 隐私窗口）</t>
  </si>
  <si>
    <t>1. 普通窗口登录 test01，打开 /4/，数量填 3，点击【加入购物车】两次，再点击【去结算】，停在订单确认页不要提交
2. 隐私窗口登录 test02，打开 /4/，数量填 64（即当前全部剩余库存），点击【加入购物车】两次
3. 在隐私窗口点击【去结算】，再点击【提交订单】，等待“订单提交成功！”提示
4. 在隐私窗口打开 /user/order/1，记录订单号与金额
5. 回到普通窗口（test01 会话），在已打开的订单确认页点击【提交订单】
6. 观察浏览器提示与页面是否跳转
7. 在普通窗口刷新 /cart/，查看购物车条目是否仍然存在
8. 在任意窗口打开 /4/，查看页面显示的库存数</t>
  </si>
  <si>
    <t>账号 A=test01 / 123456，购买商品 4 × 3；账号 B=test02 / 123456，购买商品 4 × 64；商品 4 执行前库存=64</t>
  </si>
  <si>
    <t>1. 步骤 3 test02 下单成功，订单金额 = 9.90×64 + 10.00 = 643.60 元
2. 步骤 4 test02 订单生成，商品 4 库存由 64 扣减为 0
3. 步骤 5 test01 提交失败，提示“商品“海南小台芒”已下架或库存不足”
4. 步骤 7 test01 购物车中商品 4 的条目仍然存在（数量 3）
5. 步骤 8 库存仍为 0，既不为负也没被二次扣减
6. test01 名下无新增订单，订单 / 明细 / 库存 / 购物车整体回滚
7. 无 500 错误页，提示为用户可理解的中文业务提示</t>
  </si>
  <si>
    <t>执行前商品 4 库存 64。test02 加购 64 件，确认页总金额 633.60、实付款 643.60，提交后生成订单202609151650357660，库存归零。
此时在 test01 已打开的确认页点【提交订单】，弹出“商品“海南小台芒”已下架或库存不足”，页面停在 /order/?cart_id=16 没有跳转。回 /cart/ 看到商品 4 仍为 3 件（小计 29.70），/4/ 页面库存显示 0，/user/order/1 里 test01 名下没有新订单——订单、明细、库存、购物车四项都保持在失败前状态，事务确实整体回滚。
补充复核：直接 POST /order/push/ 带回同一条目，服务端返回 {"ok":0,"msg":"商品“海南小台芒”已下架或库存不足"}。</t>
  </si>
  <si>
    <t>docs/testing/evidence/C-ORD-004-test01确认页待提交.png
docs/testing/evidence/C-ORD-004-test02加购买光库存.png
docs/testing/evidence/C-ORD-004-test02下单成功.png
docs/testing/evidence/C-ORD-004-test02订单记录.png
docs/testing/evidence/C-ORD-004-test01提交失败提示.png
docs/testing/evidence/C-ORD-004-失败提示内容.png
docs/testing/evidence/C-ORD-004-test01购物车条目仍在.png
docs/testing/evidence/C-ORD-004-商品4库存为0.png</t>
  </si>
  <si>
    <t>C-ORD-006</t>
  </si>
  <si>
    <t>连续创建两笔订单编号唯一</t>
  </si>
  <si>
    <t>1) 已启动服务，可通过 http://127.0.0.1:8000/ 访问；2) 数据库中已存在账号 test01（密码 123456），收货地址非空；3) 商品 4（9.90 元）与商品 5（28.00 元）均在售且库存充足；4) 该账号购物车已清空；5) 当前浏览器未登录任何账号</t>
  </si>
  <si>
    <t>1. 打开 /user/login/，用 test01 / 123456 登录
2. 打开 /4/，数量填 1，点击【加入购物车】两次，点击【去结算】，点击【提交订单】
3. 跳转后记录第一笔订单的订单号与金额，记为 OID1
4. 打开 /5/，数量填 1，点击【加入购物车】两次，点击【去结算】，点击【提交订单】
5. 跳转后记录第二笔订单的订单号与金额，记为 OID2
6. 在 /user/order/1 核对两笔订单是否同时存在（订单列表每页 2 条）
7. 刷新 /user/order/1，确认两笔订单均未丢失或被覆盖</t>
  </si>
  <si>
    <t>账号=test01 / 123456；第一笔=商品 4（9.90 元）× 1；第二笔=商品 5（28.00 元）× 1；两笔下单连续进行，间隔尽可能短</t>
  </si>
  <si>
    <t>1. 两笔订单均提交成功，各自弹出“订单提交成功！”并跳转
2. OID1 ≠ OID2，两个订单号均为 18 位数字且不为空
3. 第一笔金额 = 9.90 + 10.00 = 19.90 元，第二笔金额 = 28.00 + 10.00 = 38.00 元
4. 订单列表中两笔订单同时存在，各自只含自己的商品明细，互不覆盖
5. 刷新后两笔订单仍完整，说明订单号生成不会产生主键冲突
6. 购物车在两笔下单后均已清空，商品 4 与商品 5 库存各扣减 1</t>
  </si>
  <si>
    <t>第一笔订单号 202609151650002382（海南小台芒 1 件，19.90 元）；第二笔 202609151650084219（鲜活基围虾 1 件，38.00 元）。两笔间隔约 8 秒，订单号不同且都是 18 位，列表页两笔并列显示、明细互不串。刷新后仍完整。查库得商品 4 库存 65→64、商品 5 库存 44→43，各扣 1；两笔下单后购物车均已清空。</t>
  </si>
  <si>
    <t>docs/testing/evidence/C-ORD-005-第一笔提交成功.png
docs/testing/evidence/C-ORD-005-第一笔订单19.80.png
docs/testing/evidence/C-ORD-005-第二笔提交成功.png
docs/testing/evidence/C-ORD-005-两笔订单并列.png
docs/testing/evidence/C-ORD-005-核对两笔明细.png
docs/testing/evidence/C-ORD-005-刷新后两笔仍在.png</t>
  </si>
  <si>
    <t>C-ORD-010</t>
  </si>
  <si>
    <t>无效购物车编号提交订单</t>
  </si>
  <si>
    <t>1) 已启动服务，可通过 http://127.0.0.1:8000/ 访问；2) 数据库中已存在账号 test01（密码 123456），收货地址非空；3) 该账号购物车中至少有 1 个在售商品条目；4) 当前浏览器未登录任何账号</t>
  </si>
  <si>
    <t>1. 打开 /user/login/，用 test01 / 123456 登录
2. 打开 /cart/，按 F12 查看该商品行的 id 值（ul.cart_list_td），记为 X
3. 在地址栏访问 /order/?cart_id=99999（不存在的编号），观察页面
4. 在地址栏访问 /order/?cart_id=abc（非数字参数），观察页面
5. 在地址栏访问 /order/?cart_id=X（本账号真实编号），观察页面
6. 在地址栏访问 /order/（不带任何参数），观察页面</t>
  </si>
  <si>
    <t>账号=test01 / 123456；本账号有效购物车条目编号 X=15；无效参数=99999（不存在）、abc（非数字）、空（不带参数）</t>
  </si>
  <si>
    <t>1. 步骤 3 与步骤 4 均正常返回 200 页面，不出现 500 错误
2. 两种无效参数下商品列表为空，显示“购物车中没有可结算的商品，请先返回购物车选择商品。”
3. 两种无效参数下页面不显示【提交订单】按钮，无法继续提交
4. 步骤 5 正常显示商品 X 的明细与金额（只取属于当前登录用户的条目）
5. 步骤 6 同样为空态，不显示【提交订单】按钮
6. 所有带无效参数的请求均未创建订单，也未扣减库存</t>
  </si>
  <si>
    <t>本账号有效条目编号 X=15。访问 /order/?cart_id=99999 与 /order/?cart_id=abc 都正常返回 200，页面商品列表为空，总金额区显示“共0件商品，总金额0.00”，下方同时给出空态提示“购物车中没有可结算的商品，请先返回购物车选择商品。”（对应模板中 total_goods_count 与 empty_tip 两处，二者在空态下同时渲染）；正文中没有“提交订单”按钮。不带参数访问 /order/ 结果完全相同。
换成 /order/?cart_id=15 后正常列出海南小台芒 1 件，总金额 9.90、运费 10.00 元、实付款 19.90，并显示【提交订单】。三种无效参数都没有生成订单，库存也未变化。</t>
  </si>
  <si>
    <t>docs/testing/evidence/C-ORD-006-查看条目编号.png
docs/testing/evidence/C-ORD-006-不存在编号99999.png
docs/testing/evidence/C-ORD-006-非数字参数abc.png
docs/testing/evidence/C-ORD-006-有效编号正常显示.png
docs/testing/evidence/C-ORD-006-无参数空态.png</t>
  </si>
  <si>
    <t>覆盖矩阵（自动汇总）</t>
  </si>
  <si>
    <t>总数</t>
  </si>
  <si>
    <t>完成状态</t>
  </si>
  <si>
    <t>成员 A｜用户与地址</t>
  </si>
  <si>
    <t>成员补录</t>
  </si>
  <si>
    <t>成员 B｜商品与搜索</t>
  </si>
  <si>
    <t>成员 C｜购物车与订单</t>
  </si>
  <si>
    <t>合计</t>
  </si>
  <si>
    <t>目标 ≥30 条</t>
  </si>
  <si>
    <t>填写顺序</t>
  </si>
  <si>
    <t>负责人先补写前置条件、步骤、输入和预期，再执行并填写实际结果、状态、证据路径</t>
  </si>
  <si>
    <t>方法覆盖</t>
  </si>
  <si>
    <t>至少保留两种方法；当前框架已覆盖三种方法</t>
  </si>
  <si>
    <t>缺陷关联</t>
  </si>
  <si>
    <t>失败用例在 N 列填写 D-01、D-02 等缺陷编号</t>
  </si>
  <si>
    <t>提交前复核</t>
  </si>
  <si>
    <t>删除未执行或空字段行前，确保仍有至少 30 条完整人工用例</t>
  </si>
  <si>
    <t>版本记录</t>
  </si>
  <si>
    <t>在 Git 提交中分别由成员使用个人账号提交自己的用例记录和证据</t>
  </si>
  <si>
    <t>登录成功后跳转首页，右上角显示“欢迎您：test01”。打开 /4/ 输入数量 1 并加购，/cart/ 出现 1 行商品：海南小台芒，数量 1，单价 9.90 元/500g，该行小计 9.90 元；底部“合计(不含运费)”同样为 9.90 元，与小计一致。
页面顶部显示“全部商品 1 件”，结算区显示“共计 1 件商品”——这两处统计的都是购物车条目数，不是数量之和。
查库确认：df_cart_cartinfo 中 user_id=1 只有 1 条记录（goods_id=4、count=1）；df_goods_goodsinfo 中商品 4 库存仍为 70，加购动作不扣减库存。</t>
    <phoneticPr fontId="7" type="noConversion"/>
  </si>
  <si>
    <t>1. 步骤 4 后该行小计由 9.90 变为 29.70（9.90 × 3）
2. “合计(不含运费)”同步变为 29.70，与该行小计一致
3. 件数统计保持为 1（页面统计的是购物车条目数，不是数量之和）
4. 不出现“数量必须是大于0的整数”或“数量不可超过库存”提示
5. 步骤 6/7 刷新后数量仍为 3，说明修改已写入数据库
6. 商品库存不因修改数量而变化</t>
    <phoneticPr fontId="7" type="noConversion"/>
  </si>
  <si>
    <r>
      <rPr>
        <sz val="11"/>
        <rFont val="微软雅黑"/>
        <family val="2"/>
        <charset val="134"/>
      </rPr>
      <t>登录成功后跳转首页，右上角显示</t>
    </r>
    <r>
      <rPr>
        <sz val="11"/>
        <rFont val="Carlito"/>
        <family val="2"/>
        <charset val="134"/>
      </rPr>
      <t>“</t>
    </r>
    <r>
      <rPr>
        <sz val="11"/>
        <rFont val="微软雅黑"/>
        <family val="2"/>
        <charset val="134"/>
      </rPr>
      <t>欢迎您：</t>
    </r>
    <r>
      <rPr>
        <sz val="11"/>
        <rFont val="Arial"/>
        <family val="2"/>
      </rPr>
      <t>test01</t>
    </r>
    <r>
      <rPr>
        <sz val="11"/>
        <rFont val="Carlito"/>
        <family val="2"/>
        <charset val="134"/>
      </rPr>
      <t>”</t>
    </r>
    <r>
      <rPr>
        <sz val="11"/>
        <rFont val="微软雅黑"/>
        <family val="2"/>
        <charset val="134"/>
      </rPr>
      <t>。点击右上角</t>
    </r>
    <r>
      <rPr>
        <sz val="11"/>
        <rFont val="Carlito"/>
      </rPr>
      <t>用户中心进入用户中心。点击个人信息显示基本信息；点击全部订单显示订单记录；点击收获地址显示当前收获地址，以及编辑收获地址。</t>
    </r>
    <phoneticPr fontId="7" type="noConversion"/>
  </si>
  <si>
    <t>通过</t>
    <phoneticPr fontId="7" type="noConversion"/>
  </si>
  <si>
    <t>登陆失败，密码栏下方显示提示密码错误。</t>
  </si>
  <si>
    <t>登陆失败，密码栏下方显示提示密码错误。</t>
    <phoneticPr fontId="7" type="noConversion"/>
  </si>
  <si>
    <t xml:space="preserve">      通过</t>
    <phoneticPr fontId="7" type="noConversion"/>
  </si>
  <si>
    <t>登陆失败，同户名下方显示提示用户名错误。</t>
    <phoneticPr fontId="7" type="noConversion"/>
  </si>
  <si>
    <r>
      <t>docs\testing\evidence\A-USER-004-</t>
    </r>
    <r>
      <rPr>
        <sz val="11"/>
        <rFont val="宋体"/>
        <family val="3"/>
        <charset val="134"/>
      </rPr>
      <t>密码为空</t>
    </r>
    <r>
      <rPr>
        <sz val="11"/>
        <rFont val="Carlito"/>
      </rPr>
      <t>.png</t>
    </r>
    <phoneticPr fontId="7" type="noConversion"/>
  </si>
  <si>
    <t>刷新后用户中心信息仍正常显示，订单信息和收获地址信息显示正常。</t>
    <phoneticPr fontId="7" type="noConversion"/>
  </si>
  <si>
    <t>登录成功，后登出，点击右上角用户中心自动跳转用户登录页面。</t>
    <phoneticPr fontId="7" type="noConversion"/>
  </si>
  <si>
    <r>
      <rPr>
        <sz val="11"/>
        <rFont val="微软雅黑"/>
        <family val="2"/>
        <charset val="134"/>
      </rPr>
      <t>用户名</t>
    </r>
    <r>
      <rPr>
        <sz val="11"/>
        <rFont val="Arial"/>
        <family val="2"/>
      </rPr>
      <t>=user04</t>
    </r>
    <r>
      <rPr>
        <sz val="11"/>
        <rFont val="微软雅黑"/>
        <family val="2"/>
        <charset val="134"/>
      </rPr>
      <t>；密码</t>
    </r>
    <r>
      <rPr>
        <sz val="11"/>
        <rFont val="Arial"/>
        <family val="2"/>
      </rPr>
      <t>=123456</t>
    </r>
    <r>
      <rPr>
        <sz val="11"/>
        <rFont val="微软雅黑"/>
        <family val="2"/>
        <charset val="134"/>
      </rPr>
      <t>；确认密码</t>
    </r>
    <r>
      <rPr>
        <sz val="11"/>
        <rFont val="Arial"/>
        <family val="2"/>
      </rPr>
      <t>=123456</t>
    </r>
    <r>
      <rPr>
        <sz val="11"/>
        <rFont val="微软雅黑"/>
        <family val="2"/>
        <charset val="134"/>
      </rPr>
      <t>；邮箱</t>
    </r>
    <r>
      <rPr>
        <sz val="11"/>
        <rFont val="Arial"/>
        <family val="2"/>
      </rPr>
      <t>=4@test.com</t>
    </r>
    <r>
      <rPr>
        <sz val="11"/>
        <rFont val="微软雅黑"/>
        <family val="2"/>
        <charset val="134"/>
      </rPr>
      <t>。</t>
    </r>
    <phoneticPr fontId="7" type="noConversion"/>
  </si>
  <si>
    <t>点击主页右上角注册，输入预设的注册信息后，注册成功。点击右上角用户中心，用户中心信息正常显示。</t>
    <phoneticPr fontId="7" type="noConversion"/>
  </si>
  <si>
    <t>点击主页右上角注册，输入预设的注册信息后，注册失败，用户名下方显示用户名已存在。</t>
    <phoneticPr fontId="7" type="noConversion"/>
  </si>
  <si>
    <r>
      <rPr>
        <sz val="11"/>
        <rFont val="微软雅黑"/>
        <family val="2"/>
        <charset val="134"/>
      </rPr>
      <t>用户名</t>
    </r>
    <r>
      <rPr>
        <sz val="11"/>
        <rFont val="Arial"/>
        <family val="2"/>
      </rPr>
      <t>=test01</t>
    </r>
    <r>
      <rPr>
        <sz val="11"/>
        <rFont val="微软雅黑"/>
        <family val="2"/>
        <charset val="134"/>
      </rPr>
      <t>；密码</t>
    </r>
    <r>
      <rPr>
        <sz val="11"/>
        <rFont val="Arial"/>
        <family val="2"/>
      </rPr>
      <t>=123465</t>
    </r>
    <r>
      <rPr>
        <sz val="11"/>
        <rFont val="微软雅黑"/>
        <family val="2"/>
        <charset val="134"/>
      </rPr>
      <t>；确认密码</t>
    </r>
    <r>
      <rPr>
        <sz val="11"/>
        <rFont val="Arial"/>
        <family val="2"/>
      </rPr>
      <t>=123465</t>
    </r>
    <r>
      <rPr>
        <sz val="11"/>
        <rFont val="微软雅黑"/>
        <family val="2"/>
        <charset val="134"/>
      </rPr>
      <t>。</t>
    </r>
    <phoneticPr fontId="7" type="noConversion"/>
  </si>
  <si>
    <r>
      <rPr>
        <sz val="11"/>
        <rFont val="微软雅黑"/>
        <family val="2"/>
        <charset val="134"/>
      </rPr>
      <t>用户名</t>
    </r>
    <r>
      <rPr>
        <sz val="11"/>
        <rFont val="Arial"/>
        <family val="2"/>
      </rPr>
      <t>=user5</t>
    </r>
    <r>
      <rPr>
        <sz val="11"/>
        <rFont val="微软雅黑"/>
        <family val="2"/>
        <charset val="134"/>
      </rPr>
      <t>；短密码</t>
    </r>
    <r>
      <rPr>
        <sz val="11"/>
        <rFont val="Arial"/>
        <family val="2"/>
      </rPr>
      <t>=12345</t>
    </r>
    <r>
      <rPr>
        <sz val="11"/>
        <rFont val="微软雅黑"/>
        <family val="2"/>
        <charset val="134"/>
      </rPr>
      <t>；边界密码</t>
    </r>
    <r>
      <rPr>
        <sz val="11"/>
        <rFont val="Arial"/>
        <family val="2"/>
      </rPr>
      <t>=123456</t>
    </r>
    <r>
      <rPr>
        <sz val="11"/>
        <rFont val="微软雅黑"/>
        <family val="2"/>
        <charset val="134"/>
      </rPr>
      <t>；确认密码与对应密码一致；邮箱</t>
    </r>
    <r>
      <rPr>
        <sz val="11"/>
        <rFont val="Arial"/>
        <family val="2"/>
      </rPr>
      <t>=5@test.com</t>
    </r>
    <r>
      <rPr>
        <sz val="11"/>
        <rFont val="微软雅黑"/>
        <family val="2"/>
        <charset val="134"/>
      </rPr>
      <t>。</t>
    </r>
    <phoneticPr fontId="7" type="noConversion"/>
  </si>
  <si>
    <t>点击主页右上角注册，注册密码输入12，显示密码过短，注册失败；注册密码输入123456，注册成功。登录后可正常访问用户中心。</t>
    <phoneticPr fontId="7" type="noConversion"/>
  </si>
  <si>
    <t>用户中心显示当前会话对应的用户名、电话和收货地址；页面不显示其他用户资料；刷新后信息保持一致。</t>
    <phoneticPr fontId="7" type="noConversion"/>
  </si>
  <si>
    <t>登录对应用户账号，点击右上角用户中心，信息正常显示，刷新后信息保持一致。</t>
    <phoneticPr fontId="7" type="noConversion"/>
  </si>
  <si>
    <r>
      <rPr>
        <sz val="11"/>
        <rFont val="微软雅黑"/>
        <family val="2"/>
        <charset val="134"/>
      </rPr>
      <t>收件人</t>
    </r>
    <r>
      <rPr>
        <sz val="11"/>
        <rFont val="Arial"/>
        <family val="2"/>
      </rPr>
      <t>=test01</t>
    </r>
    <r>
      <rPr>
        <sz val="11"/>
        <rFont val="微软雅黑"/>
        <family val="2"/>
        <charset val="134"/>
      </rPr>
      <t>；地址</t>
    </r>
    <r>
      <rPr>
        <sz val="11"/>
        <rFont val="Arial"/>
        <family val="2"/>
      </rPr>
      <t>=</t>
    </r>
    <r>
      <rPr>
        <sz val="11"/>
        <rFont val="微软雅黑"/>
        <family val="2"/>
        <charset val="134"/>
      </rPr>
      <t>湖北省武汉市洪山区珞喻路</t>
    </r>
    <r>
      <rPr>
        <sz val="11"/>
        <rFont val="Arial"/>
        <family val="2"/>
      </rPr>
      <t>1037</t>
    </r>
    <r>
      <rPr>
        <sz val="11"/>
        <rFont val="微软雅黑"/>
        <family val="2"/>
        <charset val="134"/>
      </rPr>
      <t>号</t>
    </r>
    <r>
      <rPr>
        <sz val="11"/>
        <rFont val="Arial"/>
        <family val="2"/>
      </rPr>
      <t>12</t>
    </r>
    <r>
      <rPr>
        <sz val="11"/>
        <rFont val="微软雅黑"/>
        <family val="2"/>
        <charset val="134"/>
      </rPr>
      <t>栋</t>
    </r>
    <r>
      <rPr>
        <sz val="11"/>
        <rFont val="Arial"/>
        <family val="2"/>
      </rPr>
      <t>101</t>
    </r>
    <r>
      <rPr>
        <sz val="11"/>
        <rFont val="微软雅黑"/>
        <family val="2"/>
        <charset val="134"/>
      </rPr>
      <t>；邮编</t>
    </r>
    <r>
      <rPr>
        <sz val="11"/>
        <rFont val="Arial"/>
        <family val="2"/>
      </rPr>
      <t>=430000</t>
    </r>
    <r>
      <rPr>
        <sz val="11"/>
        <rFont val="微软雅黑"/>
        <family val="2"/>
        <charset val="134"/>
      </rPr>
      <t>；电话</t>
    </r>
    <r>
      <rPr>
        <sz val="11"/>
        <rFont val="Arial"/>
        <family val="2"/>
      </rPr>
      <t>=13800000001</t>
    </r>
    <r>
      <rPr>
        <sz val="11"/>
        <rFont val="微软雅黑"/>
        <family val="2"/>
        <charset val="134"/>
      </rPr>
      <t>。</t>
    </r>
    <phoneticPr fontId="7" type="noConversion"/>
  </si>
  <si>
    <t>地址信息保存成功；刷新后各字段仍显示刚填写的值；后续订单确认页可读取该地址。</t>
    <phoneticPr fontId="7" type="noConversion"/>
  </si>
  <si>
    <r>
      <rPr>
        <sz val="11"/>
        <rFont val="微软雅黑"/>
        <family val="2"/>
        <charset val="134"/>
      </rPr>
      <t>地址为空时，订单提交会给出</t>
    </r>
    <r>
      <rPr>
        <sz val="11"/>
        <rFont val="Carlito"/>
        <family val="2"/>
        <charset val="134"/>
      </rPr>
      <t>“</t>
    </r>
    <r>
      <rPr>
        <sz val="11"/>
        <rFont val="微软雅黑"/>
        <family val="2"/>
        <charset val="134"/>
      </rPr>
      <t>请填写正确的收货地址</t>
    </r>
    <r>
      <rPr>
        <sz val="11"/>
        <rFont val="Carlito"/>
        <family val="2"/>
        <charset val="134"/>
      </rPr>
      <t>”</t>
    </r>
    <r>
      <rPr>
        <sz val="11"/>
        <rFont val="微软雅黑"/>
        <family val="2"/>
        <charset val="134"/>
      </rPr>
      <t>或等价提示并阻止创建订单；不会扣减库存；测试后地址可恢复。</t>
    </r>
    <phoneticPr fontId="7" type="noConversion"/>
  </si>
  <si>
    <t>地址为空时，订单提交会给出“请填写正确的收货地址”或等价提示并阻止创建订单；不会扣减库存；测试后地址可恢复。</t>
    <phoneticPr fontId="7" type="noConversion"/>
  </si>
  <si>
    <t>B-GOODS-001</t>
    <phoneticPr fontId="7" type="noConversion"/>
  </si>
  <si>
    <t>首页商品正常显示，点击查看更多商品进入分类商品，商品正常显示</t>
    <phoneticPr fontId="7" type="noConversion"/>
  </si>
  <si>
    <t>docs\testing\evidence\B-GOODS-001-首页商品展示.png
docs\testing\evidence\B-GOODS-001-分类详情页展示.png</t>
    <phoneticPr fontId="7" type="noConversion"/>
  </si>
  <si>
    <t>B-GOODS-002</t>
    <phoneticPr fontId="7" type="noConversion"/>
  </si>
  <si>
    <t>首页点击鲜香扇贝肉。</t>
    <phoneticPr fontId="7" type="noConversion"/>
  </si>
  <si>
    <t>点击商品图片，正常跳转到商品详情页，商品信息、图片、价格均正常显示，可立即购买/加入购物车。</t>
    <phoneticPr fontId="7" type="noConversion"/>
  </si>
  <si>
    <t>docs\testing\evidence\B-GOODS-002-商品详情页.png</t>
    <phoneticPr fontId="7" type="noConversion"/>
  </si>
  <si>
    <t>打开商品详情页，将库存为0的商品加入1件到购物车；加入失败，上方提示库存不足，加入购物车失败。</t>
    <phoneticPr fontId="7" type="noConversion"/>
  </si>
  <si>
    <t>docs\testing\evidence\B-GOODS-003-商品库存为0.png
docs\testing\evidence\B-GOODS-003-弹窗提示库存不足.png</t>
    <phoneticPr fontId="7" type="noConversion"/>
  </si>
  <si>
    <r>
      <rPr>
        <sz val="11"/>
        <rFont val="微软雅黑"/>
        <family val="2"/>
        <charset val="134"/>
      </rPr>
      <t>关键词</t>
    </r>
    <r>
      <rPr>
        <sz val="11"/>
        <rFont val="Arial"/>
        <family val="2"/>
      </rPr>
      <t>=</t>
    </r>
    <r>
      <rPr>
        <sz val="11"/>
        <rFont val="微软雅黑"/>
        <family val="2"/>
        <charset val="134"/>
      </rPr>
      <t>新鲜草莓。</t>
    </r>
    <phoneticPr fontId="7" type="noConversion"/>
  </si>
  <si>
    <t>仍显示被删除商品</t>
    <phoneticPr fontId="7" type="noConversion"/>
  </si>
  <si>
    <t>未通过</t>
    <phoneticPr fontId="7" type="noConversion"/>
  </si>
  <si>
    <t>B-SEARCH-001</t>
    <phoneticPr fontId="7" type="noConversion"/>
  </si>
  <si>
    <t>docs\testing\evidence\B-SEARCH-001-搜索完整商品名.png
docs\testing\evidence\B-SEARCH-001-搜索成功显示对应商品.png</t>
    <phoneticPr fontId="7" type="noConversion"/>
  </si>
  <si>
    <t>B-GOODS-004</t>
    <phoneticPr fontId="7" type="noConversion"/>
  </si>
  <si>
    <t>首页搜索栏输入新鲜草莓，搜索成功。</t>
    <phoneticPr fontId="7" type="noConversion"/>
  </si>
  <si>
    <r>
      <rPr>
        <sz val="11"/>
        <rFont val="微软雅黑"/>
        <family val="2"/>
        <charset val="134"/>
      </rPr>
      <t>关键词</t>
    </r>
    <r>
      <rPr>
        <sz val="11"/>
        <rFont val="Arial"/>
        <family val="2"/>
      </rPr>
      <t>=</t>
    </r>
    <r>
      <rPr>
        <sz val="11"/>
        <rFont val="微软雅黑"/>
        <family val="2"/>
        <charset val="134"/>
      </rPr>
      <t>鲜。</t>
    </r>
    <phoneticPr fontId="7" type="noConversion"/>
  </si>
  <si>
    <t>B-SEARCH-002</t>
    <phoneticPr fontId="7" type="noConversion"/>
  </si>
  <si>
    <t>docs\testing\evidence\B-SEARCH-002-关键词搜索.png</t>
    <phoneticPr fontId="7" type="noConversion"/>
  </si>
  <si>
    <t>显示含搜索关键词的所有商品</t>
    <phoneticPr fontId="7" type="noConversion"/>
  </si>
  <si>
    <t>B-SEARCH-003</t>
    <phoneticPr fontId="7" type="noConversion"/>
  </si>
  <si>
    <t>首页搜索栏无输入，点击搜索。弹窗提示需要输入关键词进行搜索。</t>
    <phoneticPr fontId="7" type="noConversion"/>
  </si>
  <si>
    <t>docs\testing\evidence\B-SEARCH-003-弹窗提示输入搜索词.png</t>
    <phoneticPr fontId="7" type="noConversion"/>
  </si>
  <si>
    <t>B-SEARCH-004</t>
    <phoneticPr fontId="7" type="noConversion"/>
  </si>
  <si>
    <t>首页输入超长文本，弹窗显示输入为空文本，页面出现空白渲染，点击确定返回搜索前的页面</t>
    <phoneticPr fontId="7" type="noConversion"/>
  </si>
  <si>
    <t>docs\testing\evidence\B-SEARCH-004-超长文本搜索.png</t>
    <phoneticPr fontId="7" type="noConversion"/>
  </si>
  <si>
    <t>B-HISTORY-001</t>
    <phoneticPr fontId="7" type="noConversion"/>
  </si>
  <si>
    <r>
      <rPr>
        <sz val="11"/>
        <rFont val="Arial"/>
        <family val="2"/>
      </rPr>
      <t>docs\testing\evidence\B-HISTORY-001-</t>
    </r>
    <r>
      <rPr>
        <sz val="11"/>
        <rFont val="微软雅黑"/>
        <family val="2"/>
        <charset val="134"/>
      </rPr>
      <t>浏览记录</t>
    </r>
    <r>
      <rPr>
        <sz val="11"/>
        <rFont val="Arial"/>
        <family val="2"/>
      </rPr>
      <t>.png</t>
    </r>
    <phoneticPr fontId="7" type="noConversion"/>
  </si>
  <si>
    <t>点击用户中心，在个人信息页面显示最近浏览的5件商品。</t>
    <phoneticPr fontId="7" type="noConversion"/>
  </si>
  <si>
    <t>连续两次浏览鲜香扇贝肉，点击用户中心，最近浏览仅展示一次新鲜扇贝肉。</t>
    <phoneticPr fontId="7" type="noConversion"/>
  </si>
  <si>
    <t>B-HISTORY-002</t>
    <phoneticPr fontId="7" type="noConversion"/>
  </si>
  <si>
    <t>docs\testing\evidence\B-HISTORY-002-显示一次.png</t>
    <phoneticPr fontId="7" type="noConversion"/>
  </si>
  <si>
    <t>未登录用户，点击用户中心，访问失败。无法查看浏览历史。</t>
    <phoneticPr fontId="7" type="noConversion"/>
  </si>
  <si>
    <t>B-HISTORY-003</t>
    <phoneticPr fontId="7" type="noConversion"/>
  </si>
  <si>
    <t>docs\testing\evidence\B-HISTORY-003-游客跳转到登录页面.png</t>
    <phoneticPr fontId="7" type="noConversion"/>
  </si>
  <si>
    <t>访问编号为9999的商品页，显示调试堆栈报错</t>
    <phoneticPr fontId="7" type="noConversion"/>
  </si>
  <si>
    <t>不通过</t>
    <phoneticPr fontId="7" type="noConversion"/>
  </si>
  <si>
    <t>docs\testing\evidence\B-GOODS-002-访问非法商品页.png</t>
    <phoneticPr fontId="7" type="noConversion"/>
  </si>
  <si>
    <t>A-LOGIN-001</t>
    <phoneticPr fontId="7" type="noConversion"/>
  </si>
  <si>
    <r>
      <t>docs\testing\evidence\A-LOGIN-001-</t>
    </r>
    <r>
      <rPr>
        <sz val="11"/>
        <rFont val="微软雅黑"/>
        <family val="2"/>
        <charset val="134"/>
      </rPr>
      <t>登录主页展示</t>
    </r>
    <r>
      <rPr>
        <sz val="11"/>
        <rFont val="Arial"/>
        <family val="2"/>
      </rPr>
      <t>.png
docs\testing\evidence\A-LOGIN-001-</t>
    </r>
    <r>
      <rPr>
        <sz val="11"/>
        <rFont val="微软雅黑"/>
        <family val="2"/>
        <charset val="134"/>
      </rPr>
      <t>成功登录</t>
    </r>
    <r>
      <rPr>
        <sz val="11"/>
        <rFont val="Arial"/>
        <family val="2"/>
      </rPr>
      <t>.png
docs\testing\evidence\A-LOGIN-001-</t>
    </r>
    <r>
      <rPr>
        <sz val="11"/>
        <rFont val="微软雅黑"/>
        <family val="2"/>
        <charset val="134"/>
      </rPr>
      <t>登录用户主页展示</t>
    </r>
    <r>
      <rPr>
        <sz val="11"/>
        <rFont val="Arial"/>
        <family val="2"/>
      </rPr>
      <t>.png</t>
    </r>
    <phoneticPr fontId="7" type="noConversion"/>
  </si>
  <si>
    <t>A-LOGIN-002</t>
    <phoneticPr fontId="7" type="noConversion"/>
  </si>
  <si>
    <r>
      <rPr>
        <sz val="11"/>
        <rFont val="Arial"/>
        <family val="2"/>
      </rPr>
      <t>docs\testing\evidence\A-LOGIN-002-</t>
    </r>
    <r>
      <rPr>
        <sz val="11"/>
        <rFont val="微软雅黑"/>
        <family val="2"/>
        <charset val="134"/>
      </rPr>
      <t>密码错误</t>
    </r>
    <r>
      <rPr>
        <sz val="11"/>
        <rFont val="Arial"/>
        <family val="2"/>
      </rPr>
      <t>.png</t>
    </r>
    <phoneticPr fontId="7" type="noConversion"/>
  </si>
  <si>
    <t>A-LOGIN-003</t>
    <phoneticPr fontId="7" type="noConversion"/>
  </si>
  <si>
    <r>
      <t>docs\testing\evidence\A-LOGIN-003-</t>
    </r>
    <r>
      <rPr>
        <sz val="11"/>
        <rFont val="宋体"/>
        <family val="3"/>
        <charset val="134"/>
      </rPr>
      <t>用户名为空</t>
    </r>
    <r>
      <rPr>
        <sz val="11"/>
        <rFont val="Carlito"/>
      </rPr>
      <t>.png</t>
    </r>
    <phoneticPr fontId="7" type="noConversion"/>
  </si>
  <si>
    <t>A-LOGIN-005</t>
    <phoneticPr fontId="7" type="noConversion"/>
  </si>
  <si>
    <r>
      <t>docs\testing\evidence\A-LOGIN-005-</t>
    </r>
    <r>
      <rPr>
        <sz val="11"/>
        <rFont val="微软雅黑"/>
        <family val="2"/>
        <charset val="134"/>
      </rPr>
      <t>登录后刷新</t>
    </r>
    <r>
      <rPr>
        <sz val="11"/>
        <rFont val="Arial"/>
        <family val="2"/>
      </rPr>
      <t>.png</t>
    </r>
    <phoneticPr fontId="7" type="noConversion"/>
  </si>
  <si>
    <t>A-LOGIN-006</t>
    <phoneticPr fontId="7" type="noConversion"/>
  </si>
  <si>
    <r>
      <t>docs\testing\evidence\A-LOGIN-006-</t>
    </r>
    <r>
      <rPr>
        <sz val="11"/>
        <rFont val="微软雅黑"/>
        <family val="2"/>
        <charset val="134"/>
      </rPr>
      <t>用户登出</t>
    </r>
    <r>
      <rPr>
        <sz val="11"/>
        <rFont val="Arial"/>
        <family val="2"/>
      </rPr>
      <t>.png
docs\testing\evidence\A-LOGIN-006-</t>
    </r>
    <r>
      <rPr>
        <sz val="11"/>
        <rFont val="微软雅黑"/>
        <family val="2"/>
        <charset val="134"/>
      </rPr>
      <t>用户登录</t>
    </r>
    <r>
      <rPr>
        <sz val="11"/>
        <rFont val="Arial"/>
        <family val="2"/>
      </rPr>
      <t>.png
docs\testing\evidence\A-LOGIN-006-</t>
    </r>
    <r>
      <rPr>
        <sz val="11"/>
        <rFont val="微软雅黑"/>
        <family val="2"/>
        <charset val="134"/>
      </rPr>
      <t>点击用户中心跳转登录页面</t>
    </r>
    <r>
      <rPr>
        <sz val="11"/>
        <rFont val="Arial"/>
        <family val="2"/>
      </rPr>
      <t>.png</t>
    </r>
    <phoneticPr fontId="7" type="noConversion"/>
  </si>
  <si>
    <t>A-REG-001</t>
    <phoneticPr fontId="7" type="noConversion"/>
  </si>
  <si>
    <r>
      <t>docs\testing\evidence\A-REG-001-</t>
    </r>
    <r>
      <rPr>
        <sz val="11"/>
        <rFont val="微软雅黑"/>
        <family val="2"/>
        <charset val="134"/>
      </rPr>
      <t>新用户访问用户中心</t>
    </r>
    <r>
      <rPr>
        <sz val="11"/>
        <rFont val="Arial"/>
        <family val="2"/>
      </rPr>
      <t>.png
docs\testing\evidence\A-REG-001-</t>
    </r>
    <r>
      <rPr>
        <sz val="11"/>
        <rFont val="微软雅黑"/>
        <family val="2"/>
        <charset val="134"/>
      </rPr>
      <t>新用户注册</t>
    </r>
    <r>
      <rPr>
        <sz val="11"/>
        <rFont val="Arial"/>
        <family val="2"/>
      </rPr>
      <t>.png</t>
    </r>
    <phoneticPr fontId="7" type="noConversion"/>
  </si>
  <si>
    <t>A-REG-002</t>
    <phoneticPr fontId="7" type="noConversion"/>
  </si>
  <si>
    <r>
      <t>docs\testing\evidence\A-REG-002-</t>
    </r>
    <r>
      <rPr>
        <sz val="11"/>
        <rFont val="宋体"/>
        <family val="3"/>
        <charset val="134"/>
      </rPr>
      <t>重复注册显示用户名已存在</t>
    </r>
    <r>
      <rPr>
        <sz val="11"/>
        <rFont val="Carlito"/>
      </rPr>
      <t>.png</t>
    </r>
    <phoneticPr fontId="7" type="noConversion"/>
  </si>
  <si>
    <t>A-REG-003</t>
    <phoneticPr fontId="7" type="noConversion"/>
  </si>
  <si>
    <r>
      <t>docs\testing\evidence\A-REG-003-</t>
    </r>
    <r>
      <rPr>
        <sz val="11"/>
        <rFont val="微软雅黑"/>
        <family val="2"/>
        <charset val="134"/>
      </rPr>
      <t>注册密码过短</t>
    </r>
    <r>
      <rPr>
        <sz val="11"/>
        <rFont val="Arial"/>
        <family val="2"/>
      </rPr>
      <t>.png
docs\testing\evidence\A-REG-003-</t>
    </r>
    <r>
      <rPr>
        <sz val="11"/>
        <rFont val="微软雅黑"/>
        <family val="2"/>
        <charset val="134"/>
      </rPr>
      <t>注册密码</t>
    </r>
    <r>
      <rPr>
        <sz val="11"/>
        <rFont val="Arial"/>
        <family val="2"/>
      </rPr>
      <t>123456</t>
    </r>
    <r>
      <rPr>
        <sz val="11"/>
        <rFont val="微软雅黑"/>
        <family val="2"/>
        <charset val="134"/>
      </rPr>
      <t>无红字报错</t>
    </r>
    <r>
      <rPr>
        <sz val="11"/>
        <rFont val="Arial"/>
        <family val="2"/>
      </rPr>
      <t>.png
docs\testing\evidence\A-REG-003-</t>
    </r>
    <r>
      <rPr>
        <sz val="11"/>
        <rFont val="微软雅黑"/>
        <family val="2"/>
        <charset val="134"/>
      </rPr>
      <t>注册成功访问用户中心</t>
    </r>
    <r>
      <rPr>
        <sz val="11"/>
        <rFont val="Arial"/>
        <family val="2"/>
      </rPr>
      <t>.png</t>
    </r>
    <phoneticPr fontId="7" type="noConversion"/>
  </si>
  <si>
    <t>A-USER-001</t>
    <phoneticPr fontId="7" type="noConversion"/>
  </si>
  <si>
    <r>
      <t>docs\testing\evidence\A-USER-001-</t>
    </r>
    <r>
      <rPr>
        <sz val="11"/>
        <rFont val="宋体"/>
        <family val="3"/>
        <charset val="134"/>
      </rPr>
      <t>对应的用户名电话和收货地址正确显示刷新后一致</t>
    </r>
    <r>
      <rPr>
        <sz val="11"/>
        <rFont val="Carlito"/>
      </rPr>
      <t>.png</t>
    </r>
    <phoneticPr fontId="7" type="noConversion"/>
  </si>
  <si>
    <t>A-ADDR-001</t>
    <phoneticPr fontId="7" type="noConversion"/>
  </si>
  <si>
    <r>
      <t>docs\testing\evidence\A-ADDR-001-</t>
    </r>
    <r>
      <rPr>
        <sz val="11"/>
        <rFont val="微软雅黑"/>
        <family val="2"/>
        <charset val="134"/>
      </rPr>
      <t>修改用户收货地址</t>
    </r>
    <r>
      <rPr>
        <sz val="11"/>
        <rFont val="Arial"/>
        <family val="2"/>
      </rPr>
      <t>.png
docs\testing\evidence\A-ADDR-001-</t>
    </r>
    <r>
      <rPr>
        <sz val="11"/>
        <rFont val="微软雅黑"/>
        <family val="2"/>
        <charset val="134"/>
      </rPr>
      <t>收货地址显示为新修改的地址</t>
    </r>
    <r>
      <rPr>
        <sz val="11"/>
        <rFont val="Arial"/>
        <family val="2"/>
      </rPr>
      <t>.png</t>
    </r>
    <phoneticPr fontId="7" type="noConversion"/>
  </si>
  <si>
    <t>A-ADDR-002</t>
    <phoneticPr fontId="7" type="noConversion"/>
  </si>
  <si>
    <r>
      <t>docs\testing\evidence\A-ADDR-002-</t>
    </r>
    <r>
      <rPr>
        <sz val="11"/>
        <rFont val="微软雅黑"/>
        <family val="2"/>
        <charset val="134"/>
      </rPr>
      <t>收货地址修改为空无法提交订单</t>
    </r>
    <r>
      <rPr>
        <sz val="11"/>
        <rFont val="Arial"/>
        <family val="2"/>
      </rPr>
      <t>.png</t>
    </r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</si>
</sst>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name val="Carlito"/>
    </font>
    <font>
      <b/>
      <sz val="11"/>
      <color rgb="FF17365D"/>
      <name val="Carlito"/>
    </font>
    <font>
      <b/>
      <sz val="18"/>
      <color rgb="FFFFFFFF"/>
      <name val="Carlito"/>
    </font>
    <font>
      <b/>
      <sz val="11"/>
      <color rgb="FF375623"/>
      <name val="Carlito"/>
    </font>
    <font>
      <b/>
      <sz val="11"/>
      <color rgb="FFFFFFFF"/>
      <name val="Carlito"/>
    </font>
    <font>
      <b/>
      <sz val="11"/>
      <color rgb="FF1F4E78"/>
      <name val="Carlito"/>
    </font>
    <font>
      <sz val="11"/>
      <name val="Carlito"/>
    </font>
    <font>
      <sz val="9"/>
      <name val="宋体"/>
      <family val="3"/>
      <charset val="134"/>
    </font>
    <font>
      <sz val="11"/>
      <name val="微软雅黑"/>
      <family val="2"/>
      <charset val="134"/>
    </font>
    <font>
      <sz val="11"/>
      <name val="Arial"/>
      <family val="2"/>
    </font>
    <font>
      <sz val="11"/>
      <name val="Carlito"/>
    </font>
    <font>
      <sz val="11"/>
      <name val="Carlito"/>
      <family val="2"/>
      <charset val="134"/>
    </font>
    <font>
      <sz val="11"/>
      <name val="宋体"/>
      <family val="3"/>
      <charset val="134"/>
    </font>
    <font>
      <sz val="11"/>
      <name val="Carlito"/>
      <family val="2"/>
    </font>
  </fonts>
  <fills count="5">
    <fill>
      <patternFill patternType="none"/>
    </fill>
    <fill>
      <patternFill patternType="gray125"/>
    </fill>
    <fill>
      <patternFill patternType="solid">
        <fgColor rgb="FFDDEBF7"/>
      </patternFill>
    </fill>
    <fill>
      <patternFill patternType="solid">
        <fgColor rgb="FF1F4E78"/>
      </patternFill>
    </fill>
    <fill>
      <patternFill patternType="solid">
        <fgColor rgb="FFE2F0D9"/>
      </patternFill>
    </fill>
  </fills>
  <borders count="3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/>
      <diagonal/>
    </border>
  </borders>
  <cellStyleXfs count="2">
    <xf numFmtId="0" fontId="0" fillId="0" borderId="0"/>
    <xf numFmtId="0" fontId="6" fillId="0" borderId="0"/>
  </cellStyleXfs>
  <cellXfs count="20">
    <xf numFmtId="0" fontId="0" fillId="0" borderId="0" xfId="0"/>
    <xf numFmtId="0" fontId="1" fillId="2" borderId="0" xfId="1" applyFont="1" applyFill="1" applyAlignment="1">
      <alignment vertical="center" wrapText="1"/>
    </xf>
    <xf numFmtId="0" fontId="0" fillId="0" borderId="0" xfId="1" applyFont="1" applyAlignment="1">
      <alignment wrapText="1"/>
    </xf>
    <xf numFmtId="0" fontId="3" fillId="4" borderId="0" xfId="1" applyFont="1" applyFill="1" applyAlignment="1">
      <alignment wrapText="1"/>
    </xf>
    <xf numFmtId="0" fontId="4" fillId="3" borderId="1" xfId="1" applyFont="1" applyFill="1" applyBorder="1" applyAlignment="1">
      <alignment horizontal="center" vertical="center" wrapText="1"/>
    </xf>
    <xf numFmtId="0" fontId="5" fillId="0" borderId="1" xfId="1" applyFont="1" applyBorder="1" applyAlignment="1">
      <alignment vertical="center" wrapText="1"/>
    </xf>
    <xf numFmtId="0" fontId="0" fillId="0" borderId="1" xfId="1" applyFont="1" applyBorder="1" applyAlignment="1">
      <alignment horizontal="center" vertical="center" wrapText="1"/>
    </xf>
    <xf numFmtId="0" fontId="0" fillId="0" borderId="1" xfId="1" applyFont="1" applyBorder="1" applyAlignment="1">
      <alignment vertical="center" wrapText="1"/>
    </xf>
    <xf numFmtId="0" fontId="4" fillId="3" borderId="1" xfId="1" applyFont="1" applyFill="1" applyBorder="1" applyAlignment="1">
      <alignment horizontal="center"/>
    </xf>
    <xf numFmtId="0" fontId="3" fillId="4" borderId="1" xfId="1" applyFont="1" applyFill="1" applyBorder="1" applyAlignment="1">
      <alignment vertical="center" wrapText="1"/>
    </xf>
    <xf numFmtId="0" fontId="1" fillId="2" borderId="0" xfId="1" applyFont="1" applyFill="1" applyAlignment="1">
      <alignment wrapText="1"/>
    </xf>
    <xf numFmtId="0" fontId="8" fillId="0" borderId="1" xfId="1" applyFont="1" applyBorder="1" applyAlignment="1">
      <alignment vertical="center" wrapText="1"/>
    </xf>
    <xf numFmtId="0" fontId="8" fillId="0" borderId="1" xfId="1" applyFont="1" applyBorder="1" applyAlignment="1">
      <alignment horizontal="center" vertical="center" wrapText="1"/>
    </xf>
    <xf numFmtId="0" fontId="10" fillId="0" borderId="1" xfId="1" applyFont="1" applyBorder="1" applyAlignment="1">
      <alignment vertical="center" wrapText="1"/>
    </xf>
    <xf numFmtId="0" fontId="2" fillId="3" borderId="0" xfId="1" applyFont="1" applyFill="1" applyAlignment="1">
      <alignment horizontal="center" vertical="center"/>
    </xf>
    <xf numFmtId="0" fontId="0" fillId="0" borderId="0" xfId="0"/>
    <xf numFmtId="0" fontId="11" fillId="0" borderId="1" xfId="1" applyFont="1" applyBorder="1" applyAlignment="1">
      <alignment vertical="center" wrapText="1"/>
    </xf>
    <xf numFmtId="0" fontId="8" fillId="0" borderId="2" xfId="1" applyFont="1" applyFill="1" applyBorder="1" applyAlignment="1">
      <alignment vertical="center" wrapText="1"/>
    </xf>
    <xf numFmtId="0" fontId="12" fillId="0" borderId="1" xfId="1" applyFont="1" applyBorder="1" applyAlignment="1">
      <alignment vertical="center" wrapText="1"/>
    </xf>
    <xf numFmtId="0" fontId="13" fillId="0" borderId="1" xfId="1" applyFont="1" applyBorder="1" applyAlignment="1">
      <alignment vertical="center" wrapText="1"/>
    </xf>
  </cellXfs>
  <cellStyles count="2">
    <cellStyle name="Normal" xfId="1" xr:uid="{00000000-0005-0000-0000-000001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"/>
  <sheetViews>
    <sheetView showGridLines="0" workbookViewId="0">
      <selection sqref="A1:H1"/>
    </sheetView>
  </sheetViews>
  <sheetFormatPr defaultRowHeight="14"/>
  <cols>
    <col min="1" max="1" width="16" customWidth="1"/>
    <col min="2" max="2" width="92" customWidth="1"/>
  </cols>
  <sheetData>
    <row r="1" spans="1:8" ht="34" customHeight="1">
      <c r="A1" s="14" t="s">
        <v>0</v>
      </c>
      <c r="B1" s="15"/>
      <c r="C1" s="15"/>
      <c r="D1" s="15"/>
      <c r="E1" s="15"/>
      <c r="F1" s="15"/>
      <c r="G1" s="15"/>
      <c r="H1" s="15"/>
    </row>
    <row r="3" spans="1:8" ht="32" customHeight="1">
      <c r="A3" s="1" t="s">
        <v>1</v>
      </c>
      <c r="B3" s="2" t="s">
        <v>2</v>
      </c>
    </row>
    <row r="4" spans="1:8" ht="32" customHeight="1">
      <c r="A4" s="1" t="s">
        <v>3</v>
      </c>
      <c r="B4" s="2" t="s">
        <v>4</v>
      </c>
    </row>
    <row r="5" spans="1:8" ht="32" customHeight="1">
      <c r="A5" s="1" t="s">
        <v>5</v>
      </c>
      <c r="B5" s="2" t="s">
        <v>6</v>
      </c>
    </row>
    <row r="6" spans="1:8" ht="32" customHeight="1">
      <c r="A6" s="1" t="s">
        <v>7</v>
      </c>
      <c r="B6" s="2" t="s">
        <v>8</v>
      </c>
    </row>
    <row r="7" spans="1:8" ht="32" customHeight="1">
      <c r="A7" s="1" t="s">
        <v>9</v>
      </c>
      <c r="B7" s="2" t="s">
        <v>10</v>
      </c>
    </row>
    <row r="8" spans="1:8" ht="32" customHeight="1">
      <c r="A8" s="1" t="s">
        <v>11</v>
      </c>
      <c r="B8" s="2" t="s">
        <v>12</v>
      </c>
    </row>
    <row r="9" spans="1:8" ht="32" customHeight="1">
      <c r="A9" s="1" t="s">
        <v>13</v>
      </c>
      <c r="B9" s="2" t="s">
        <v>14</v>
      </c>
    </row>
    <row r="10" spans="1:8" ht="32" customHeight="1">
      <c r="A10" s="1" t="s">
        <v>15</v>
      </c>
      <c r="B10" s="2" t="s">
        <v>16</v>
      </c>
    </row>
    <row r="12" spans="1:8" ht="28" customHeight="1">
      <c r="A12" s="3" t="s">
        <v>17</v>
      </c>
      <c r="B12" s="2" t="s">
        <v>18</v>
      </c>
    </row>
    <row r="13" spans="1:8">
      <c r="A13" s="3" t="s">
        <v>19</v>
      </c>
      <c r="B13" s="2" t="s">
        <v>20</v>
      </c>
    </row>
    <row r="14" spans="1:8">
      <c r="A14" s="3" t="s">
        <v>21</v>
      </c>
      <c r="B14" s="2" t="s">
        <v>22</v>
      </c>
    </row>
  </sheetData>
  <mergeCells count="1">
    <mergeCell ref="A1:H1"/>
  </mergeCells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7"/>
  <sheetViews>
    <sheetView showGridLines="0" tabSelected="1" topLeftCell="H1" workbookViewId="0">
      <pane ySplit="1" topLeftCell="A23" activePane="bottomLeft" state="frozen"/>
      <selection pane="bottomLeft" activeCell="M13" sqref="M13"/>
    </sheetView>
  </sheetViews>
  <sheetFormatPr defaultRowHeight="14"/>
  <cols>
    <col min="1" max="1" width="16" customWidth="1"/>
    <col min="2" max="2" width="10" customWidth="1"/>
    <col min="3" max="3" width="15" customWidth="1"/>
    <col min="4" max="4" width="16" customWidth="1"/>
    <col min="5" max="5" width="12" customWidth="1"/>
    <col min="6" max="6" width="28" customWidth="1"/>
    <col min="7" max="7" width="30" customWidth="1"/>
    <col min="8" max="8" width="42" customWidth="1"/>
    <col min="9" max="9" width="24" customWidth="1"/>
    <col min="10" max="11" width="30" customWidth="1"/>
    <col min="12" max="12" width="12" customWidth="1"/>
    <col min="13" max="13" width="28" customWidth="1"/>
    <col min="14" max="14" width="16" customWidth="1"/>
  </cols>
  <sheetData>
    <row r="1" spans="1:14" ht="30" customHeight="1">
      <c r="A1" s="4" t="s">
        <v>23</v>
      </c>
      <c r="B1" s="4" t="s">
        <v>24</v>
      </c>
      <c r="C1" s="4" t="s">
        <v>25</v>
      </c>
      <c r="D1" s="4" t="s">
        <v>26</v>
      </c>
      <c r="E1" s="4" t="s">
        <v>27</v>
      </c>
      <c r="F1" s="4" t="s">
        <v>28</v>
      </c>
      <c r="G1" s="4" t="s">
        <v>29</v>
      </c>
      <c r="H1" s="4" t="s">
        <v>30</v>
      </c>
      <c r="I1" s="4" t="s">
        <v>31</v>
      </c>
      <c r="J1" s="4" t="s">
        <v>32</v>
      </c>
      <c r="K1" s="4" t="s">
        <v>33</v>
      </c>
      <c r="L1" s="4" t="s">
        <v>34</v>
      </c>
      <c r="M1" s="4" t="s">
        <v>35</v>
      </c>
      <c r="N1" s="4" t="s">
        <v>36</v>
      </c>
    </row>
    <row r="2" spans="1:14" ht="80.5" customHeight="1">
      <c r="A2" s="5" t="s">
        <v>37</v>
      </c>
      <c r="B2" s="6" t="s">
        <v>38</v>
      </c>
      <c r="C2" s="7" t="s">
        <v>360</v>
      </c>
      <c r="D2" s="7" t="s">
        <v>39</v>
      </c>
      <c r="E2" s="7" t="s">
        <v>40</v>
      </c>
      <c r="F2" s="7" t="s">
        <v>41</v>
      </c>
      <c r="G2" s="7" t="s">
        <v>42</v>
      </c>
      <c r="H2" s="7" t="s">
        <v>43</v>
      </c>
      <c r="I2" s="7" t="s">
        <v>44</v>
      </c>
      <c r="J2" s="7" t="s">
        <v>45</v>
      </c>
      <c r="K2" s="16" t="s">
        <v>301</v>
      </c>
      <c r="L2" s="17" t="s">
        <v>305</v>
      </c>
      <c r="M2" s="7" t="s">
        <v>361</v>
      </c>
      <c r="N2" s="7"/>
    </row>
    <row r="3" spans="1:14" ht="78" customHeight="1">
      <c r="A3" s="5" t="s">
        <v>46</v>
      </c>
      <c r="B3" s="6" t="s">
        <v>38</v>
      </c>
      <c r="C3" s="7" t="s">
        <v>362</v>
      </c>
      <c r="D3" s="7" t="s">
        <v>39</v>
      </c>
      <c r="E3" s="7" t="s">
        <v>40</v>
      </c>
      <c r="F3" s="7" t="s">
        <v>47</v>
      </c>
      <c r="G3" s="7" t="s">
        <v>48</v>
      </c>
      <c r="H3" s="7" t="s">
        <v>49</v>
      </c>
      <c r="I3" s="7" t="s">
        <v>50</v>
      </c>
      <c r="J3" s="7" t="s">
        <v>51</v>
      </c>
      <c r="K3" s="11" t="s">
        <v>304</v>
      </c>
      <c r="L3" s="12" t="s">
        <v>302</v>
      </c>
      <c r="M3" s="19" t="s">
        <v>363</v>
      </c>
      <c r="N3" s="7"/>
    </row>
    <row r="4" spans="1:14" ht="74" customHeight="1">
      <c r="A4" s="5" t="s">
        <v>52</v>
      </c>
      <c r="B4" s="6" t="s">
        <v>38</v>
      </c>
      <c r="C4" s="7" t="s">
        <v>364</v>
      </c>
      <c r="D4" s="7" t="s">
        <v>39</v>
      </c>
      <c r="E4" s="7" t="s">
        <v>53</v>
      </c>
      <c r="F4" s="7" t="s">
        <v>54</v>
      </c>
      <c r="G4" s="7" t="s">
        <v>55</v>
      </c>
      <c r="H4" s="7" t="s">
        <v>56</v>
      </c>
      <c r="I4" s="7" t="s">
        <v>57</v>
      </c>
      <c r="J4" s="7" t="s">
        <v>58</v>
      </c>
      <c r="K4" s="18" t="s">
        <v>306</v>
      </c>
      <c r="L4" s="6" t="s">
        <v>302</v>
      </c>
      <c r="M4" s="7" t="s">
        <v>365</v>
      </c>
      <c r="N4" s="7"/>
    </row>
    <row r="5" spans="1:14" ht="81" customHeight="1">
      <c r="A5" s="5" t="s">
        <v>59</v>
      </c>
      <c r="B5" s="6" t="s">
        <v>38</v>
      </c>
      <c r="C5" s="7" t="s">
        <v>60</v>
      </c>
      <c r="D5" s="7" t="s">
        <v>39</v>
      </c>
      <c r="E5" s="7" t="s">
        <v>53</v>
      </c>
      <c r="F5" s="7" t="s">
        <v>61</v>
      </c>
      <c r="G5" s="7" t="s">
        <v>48</v>
      </c>
      <c r="H5" s="7" t="s">
        <v>62</v>
      </c>
      <c r="I5" s="7" t="s">
        <v>63</v>
      </c>
      <c r="J5" s="7" t="s">
        <v>64</v>
      </c>
      <c r="K5" s="18" t="s">
        <v>303</v>
      </c>
      <c r="L5" s="12" t="s">
        <v>302</v>
      </c>
      <c r="M5" s="7" t="s">
        <v>307</v>
      </c>
      <c r="N5" s="7"/>
    </row>
    <row r="6" spans="1:14" ht="98" customHeight="1">
      <c r="A6" s="5" t="s">
        <v>65</v>
      </c>
      <c r="B6" s="6" t="s">
        <v>38</v>
      </c>
      <c r="C6" s="7" t="s">
        <v>366</v>
      </c>
      <c r="D6" s="7" t="s">
        <v>39</v>
      </c>
      <c r="E6" s="7" t="s">
        <v>66</v>
      </c>
      <c r="F6" s="7" t="s">
        <v>67</v>
      </c>
      <c r="G6" s="7" t="s">
        <v>48</v>
      </c>
      <c r="H6" s="7" t="s">
        <v>68</v>
      </c>
      <c r="I6" s="7" t="s">
        <v>69</v>
      </c>
      <c r="J6" s="7" t="s">
        <v>70</v>
      </c>
      <c r="K6" s="7" t="s">
        <v>308</v>
      </c>
      <c r="L6" s="12" t="s">
        <v>302</v>
      </c>
      <c r="M6" s="7" t="s">
        <v>367</v>
      </c>
      <c r="N6" s="7"/>
    </row>
    <row r="7" spans="1:14" ht="90.5" customHeight="1">
      <c r="A7" s="5" t="s">
        <v>71</v>
      </c>
      <c r="B7" s="6" t="s">
        <v>38</v>
      </c>
      <c r="C7" s="7" t="s">
        <v>368</v>
      </c>
      <c r="D7" s="7" t="s">
        <v>39</v>
      </c>
      <c r="E7" s="7" t="s">
        <v>66</v>
      </c>
      <c r="F7" s="7" t="s">
        <v>72</v>
      </c>
      <c r="G7" s="7" t="s">
        <v>48</v>
      </c>
      <c r="H7" s="7" t="s">
        <v>73</v>
      </c>
      <c r="I7" s="7" t="s">
        <v>74</v>
      </c>
      <c r="J7" s="7" t="s">
        <v>75</v>
      </c>
      <c r="K7" s="7" t="s">
        <v>309</v>
      </c>
      <c r="L7" s="12" t="s">
        <v>302</v>
      </c>
      <c r="M7" s="7" t="s">
        <v>369</v>
      </c>
      <c r="N7" s="7"/>
    </row>
    <row r="8" spans="1:14" ht="116" customHeight="1">
      <c r="A8" s="5" t="s">
        <v>76</v>
      </c>
      <c r="B8" s="6" t="s">
        <v>38</v>
      </c>
      <c r="C8" s="7" t="s">
        <v>370</v>
      </c>
      <c r="D8" s="7" t="s">
        <v>77</v>
      </c>
      <c r="E8" s="7" t="s">
        <v>40</v>
      </c>
      <c r="F8" s="7" t="s">
        <v>78</v>
      </c>
      <c r="G8" s="7" t="s">
        <v>79</v>
      </c>
      <c r="H8" s="7" t="s">
        <v>80</v>
      </c>
      <c r="I8" s="16" t="s">
        <v>310</v>
      </c>
      <c r="J8" s="7" t="s">
        <v>81</v>
      </c>
      <c r="K8" s="11" t="s">
        <v>311</v>
      </c>
      <c r="L8" s="12" t="s">
        <v>302</v>
      </c>
      <c r="M8" s="7" t="s">
        <v>371</v>
      </c>
      <c r="N8" s="7"/>
    </row>
    <row r="9" spans="1:14" ht="107" customHeight="1">
      <c r="A9" s="5" t="s">
        <v>82</v>
      </c>
      <c r="B9" s="6" t="s">
        <v>38</v>
      </c>
      <c r="C9" s="7" t="s">
        <v>372</v>
      </c>
      <c r="D9" s="7" t="s">
        <v>77</v>
      </c>
      <c r="E9" s="7" t="s">
        <v>40</v>
      </c>
      <c r="F9" s="7" t="s">
        <v>83</v>
      </c>
      <c r="G9" s="7" t="s">
        <v>48</v>
      </c>
      <c r="H9" s="7" t="s">
        <v>84</v>
      </c>
      <c r="I9" s="16" t="s">
        <v>313</v>
      </c>
      <c r="J9" s="7" t="s">
        <v>85</v>
      </c>
      <c r="K9" s="18" t="s">
        <v>312</v>
      </c>
      <c r="L9" s="12" t="s">
        <v>302</v>
      </c>
      <c r="M9" s="7" t="s">
        <v>373</v>
      </c>
      <c r="N9" s="7"/>
    </row>
    <row r="10" spans="1:14" ht="136.5" customHeight="1">
      <c r="A10" s="5" t="s">
        <v>86</v>
      </c>
      <c r="B10" s="6" t="s">
        <v>38</v>
      </c>
      <c r="C10" s="7" t="s">
        <v>374</v>
      </c>
      <c r="D10" s="7" t="s">
        <v>77</v>
      </c>
      <c r="E10" s="7" t="s">
        <v>53</v>
      </c>
      <c r="F10" s="7" t="s">
        <v>87</v>
      </c>
      <c r="G10" s="7" t="s">
        <v>88</v>
      </c>
      <c r="H10" s="7" t="s">
        <v>89</v>
      </c>
      <c r="I10" s="16" t="s">
        <v>314</v>
      </c>
      <c r="J10" s="7" t="s">
        <v>90</v>
      </c>
      <c r="K10" s="18" t="s">
        <v>315</v>
      </c>
      <c r="L10" s="12" t="s">
        <v>302</v>
      </c>
      <c r="M10" s="7" t="s">
        <v>375</v>
      </c>
      <c r="N10" s="7"/>
    </row>
    <row r="11" spans="1:14" ht="92" customHeight="1">
      <c r="A11" s="5" t="s">
        <v>91</v>
      </c>
      <c r="B11" s="6" t="s">
        <v>38</v>
      </c>
      <c r="C11" s="7" t="s">
        <v>376</v>
      </c>
      <c r="D11" s="7" t="s">
        <v>92</v>
      </c>
      <c r="E11" s="7" t="s">
        <v>66</v>
      </c>
      <c r="F11" s="7" t="s">
        <v>93</v>
      </c>
      <c r="G11" s="7" t="s">
        <v>94</v>
      </c>
      <c r="H11" s="7" t="s">
        <v>95</v>
      </c>
      <c r="I11" s="7" t="s">
        <v>69</v>
      </c>
      <c r="J11" s="11" t="s">
        <v>316</v>
      </c>
      <c r="K11" s="18" t="s">
        <v>317</v>
      </c>
      <c r="L11" s="12" t="s">
        <v>302</v>
      </c>
      <c r="M11" s="7" t="s">
        <v>377</v>
      </c>
      <c r="N11" s="7"/>
    </row>
    <row r="12" spans="1:14" ht="79.5" customHeight="1">
      <c r="A12" s="5" t="s">
        <v>96</v>
      </c>
      <c r="B12" s="6" t="s">
        <v>38</v>
      </c>
      <c r="C12" s="7" t="s">
        <v>378</v>
      </c>
      <c r="D12" s="7" t="s">
        <v>97</v>
      </c>
      <c r="E12" s="7" t="s">
        <v>40</v>
      </c>
      <c r="F12" s="7" t="s">
        <v>98</v>
      </c>
      <c r="G12" s="7" t="s">
        <v>99</v>
      </c>
      <c r="H12" s="7" t="s">
        <v>100</v>
      </c>
      <c r="I12" s="16" t="s">
        <v>318</v>
      </c>
      <c r="J12" s="11" t="s">
        <v>319</v>
      </c>
      <c r="K12" s="18" t="s">
        <v>101</v>
      </c>
      <c r="L12" s="12" t="s">
        <v>302</v>
      </c>
      <c r="M12" s="7" t="s">
        <v>379</v>
      </c>
      <c r="N12" s="7"/>
    </row>
    <row r="13" spans="1:14" ht="104.5" customHeight="1">
      <c r="A13" s="5" t="s">
        <v>102</v>
      </c>
      <c r="B13" s="6" t="s">
        <v>38</v>
      </c>
      <c r="C13" s="7" t="s">
        <v>380</v>
      </c>
      <c r="D13" s="7" t="s">
        <v>97</v>
      </c>
      <c r="E13" s="7" t="s">
        <v>53</v>
      </c>
      <c r="F13" s="7" t="s">
        <v>103</v>
      </c>
      <c r="G13" s="7" t="s">
        <v>104</v>
      </c>
      <c r="H13" s="7" t="s">
        <v>105</v>
      </c>
      <c r="I13" s="7" t="s">
        <v>106</v>
      </c>
      <c r="J13" s="16" t="s">
        <v>320</v>
      </c>
      <c r="K13" s="7" t="s">
        <v>321</v>
      </c>
      <c r="L13" s="12" t="s">
        <v>302</v>
      </c>
      <c r="M13" s="7" t="s">
        <v>381</v>
      </c>
      <c r="N13" s="7"/>
    </row>
    <row r="14" spans="1:14" ht="73.5" customHeight="1">
      <c r="A14" s="5" t="s">
        <v>107</v>
      </c>
      <c r="B14" s="6" t="s">
        <v>108</v>
      </c>
      <c r="C14" s="7" t="s">
        <v>322</v>
      </c>
      <c r="D14" s="7" t="s">
        <v>109</v>
      </c>
      <c r="E14" s="7" t="s">
        <v>40</v>
      </c>
      <c r="F14" s="7" t="s">
        <v>110</v>
      </c>
      <c r="G14" s="7" t="s">
        <v>111</v>
      </c>
      <c r="H14" s="7" t="s">
        <v>112</v>
      </c>
      <c r="I14" s="7" t="s">
        <v>113</v>
      </c>
      <c r="J14" s="7" t="s">
        <v>114</v>
      </c>
      <c r="K14" s="7" t="s">
        <v>323</v>
      </c>
      <c r="L14" s="12" t="s">
        <v>302</v>
      </c>
      <c r="M14" s="7" t="s">
        <v>324</v>
      </c>
      <c r="N14" s="7"/>
    </row>
    <row r="15" spans="1:14" ht="98.5" customHeight="1">
      <c r="A15" s="5" t="s">
        <v>115</v>
      </c>
      <c r="B15" s="6" t="s">
        <v>108</v>
      </c>
      <c r="C15" s="7" t="s">
        <v>325</v>
      </c>
      <c r="D15" s="7" t="s">
        <v>109</v>
      </c>
      <c r="E15" s="7" t="s">
        <v>66</v>
      </c>
      <c r="F15" s="7" t="s">
        <v>116</v>
      </c>
      <c r="G15" s="7" t="s">
        <v>117</v>
      </c>
      <c r="H15" s="7" t="s">
        <v>118</v>
      </c>
      <c r="I15" s="11" t="s">
        <v>326</v>
      </c>
      <c r="J15" s="7" t="s">
        <v>119</v>
      </c>
      <c r="K15" s="11" t="s">
        <v>327</v>
      </c>
      <c r="L15" s="12" t="s">
        <v>302</v>
      </c>
      <c r="M15" s="7" t="s">
        <v>328</v>
      </c>
      <c r="N15" s="7"/>
    </row>
    <row r="16" spans="1:14" ht="81.5" customHeight="1">
      <c r="A16" s="5" t="s">
        <v>120</v>
      </c>
      <c r="B16" s="6" t="s">
        <v>108</v>
      </c>
      <c r="C16" s="7" t="s">
        <v>120</v>
      </c>
      <c r="D16" s="7" t="s">
        <v>109</v>
      </c>
      <c r="E16" s="7" t="s">
        <v>53</v>
      </c>
      <c r="F16" s="7" t="s">
        <v>121</v>
      </c>
      <c r="G16" s="7" t="s">
        <v>122</v>
      </c>
      <c r="H16" s="7" t="s">
        <v>123</v>
      </c>
      <c r="I16" s="7" t="s">
        <v>124</v>
      </c>
      <c r="J16" s="7" t="s">
        <v>125</v>
      </c>
      <c r="K16" s="7" t="s">
        <v>329</v>
      </c>
      <c r="L16" s="12" t="s">
        <v>302</v>
      </c>
      <c r="M16" s="7" t="s">
        <v>330</v>
      </c>
      <c r="N16" s="7"/>
    </row>
    <row r="17" spans="1:14" ht="82" customHeight="1">
      <c r="A17" s="5" t="s">
        <v>336</v>
      </c>
      <c r="B17" s="6" t="s">
        <v>108</v>
      </c>
      <c r="C17" s="7" t="s">
        <v>126</v>
      </c>
      <c r="D17" s="7" t="s">
        <v>109</v>
      </c>
      <c r="E17" s="7" t="s">
        <v>40</v>
      </c>
      <c r="F17" s="7" t="s">
        <v>127</v>
      </c>
      <c r="G17" s="7" t="s">
        <v>128</v>
      </c>
      <c r="H17" s="7" t="s">
        <v>129</v>
      </c>
      <c r="I17" s="7" t="s">
        <v>130</v>
      </c>
      <c r="J17" s="7" t="s">
        <v>131</v>
      </c>
      <c r="K17" s="7" t="s">
        <v>332</v>
      </c>
      <c r="L17" s="6" t="s">
        <v>333</v>
      </c>
      <c r="M17" s="7"/>
      <c r="N17" s="7"/>
    </row>
    <row r="18" spans="1:14" ht="84" customHeight="1">
      <c r="A18" s="5" t="s">
        <v>132</v>
      </c>
      <c r="B18" s="6" t="s">
        <v>108</v>
      </c>
      <c r="C18" s="7" t="s">
        <v>334</v>
      </c>
      <c r="D18" s="7" t="s">
        <v>133</v>
      </c>
      <c r="E18" s="7" t="s">
        <v>40</v>
      </c>
      <c r="F18" s="7" t="s">
        <v>134</v>
      </c>
      <c r="G18" s="7" t="s">
        <v>135</v>
      </c>
      <c r="H18" s="7" t="s">
        <v>136</v>
      </c>
      <c r="I18" s="16" t="s">
        <v>331</v>
      </c>
      <c r="J18" s="7" t="s">
        <v>137</v>
      </c>
      <c r="K18" s="11" t="s">
        <v>337</v>
      </c>
      <c r="L18" s="6" t="s">
        <v>302</v>
      </c>
      <c r="M18" s="7" t="s">
        <v>335</v>
      </c>
      <c r="N18" s="7"/>
    </row>
    <row r="19" spans="1:14" ht="85" customHeight="1">
      <c r="A19" s="5" t="s">
        <v>138</v>
      </c>
      <c r="B19" s="6" t="s">
        <v>108</v>
      </c>
      <c r="C19" s="7" t="s">
        <v>339</v>
      </c>
      <c r="D19" s="7" t="s">
        <v>133</v>
      </c>
      <c r="E19" s="7" t="s">
        <v>40</v>
      </c>
      <c r="F19" s="7" t="s">
        <v>139</v>
      </c>
      <c r="G19" s="7" t="s">
        <v>135</v>
      </c>
      <c r="H19" s="7" t="s">
        <v>140</v>
      </c>
      <c r="I19" s="16" t="s">
        <v>338</v>
      </c>
      <c r="J19" s="7" t="s">
        <v>141</v>
      </c>
      <c r="K19" s="7" t="s">
        <v>341</v>
      </c>
      <c r="L19" s="12" t="s">
        <v>302</v>
      </c>
      <c r="M19" s="7" t="s">
        <v>340</v>
      </c>
      <c r="N19" s="7"/>
    </row>
    <row r="20" spans="1:14" ht="76.5" customHeight="1">
      <c r="A20" s="5" t="s">
        <v>142</v>
      </c>
      <c r="B20" s="6" t="s">
        <v>108</v>
      </c>
      <c r="C20" s="7" t="s">
        <v>342</v>
      </c>
      <c r="D20" s="7" t="s">
        <v>133</v>
      </c>
      <c r="E20" s="7" t="s">
        <v>53</v>
      </c>
      <c r="F20" s="7" t="s">
        <v>143</v>
      </c>
      <c r="G20" s="7" t="s">
        <v>144</v>
      </c>
      <c r="H20" s="7" t="s">
        <v>145</v>
      </c>
      <c r="I20" s="7" t="s">
        <v>146</v>
      </c>
      <c r="J20" s="7" t="s">
        <v>147</v>
      </c>
      <c r="K20" s="7" t="s">
        <v>343</v>
      </c>
      <c r="L20" s="12" t="s">
        <v>302</v>
      </c>
      <c r="M20" s="7" t="s">
        <v>344</v>
      </c>
      <c r="N20" s="7"/>
    </row>
    <row r="21" spans="1:14" ht="93" customHeight="1">
      <c r="A21" s="5" t="s">
        <v>148</v>
      </c>
      <c r="B21" s="6" t="s">
        <v>108</v>
      </c>
      <c r="C21" s="7" t="s">
        <v>345</v>
      </c>
      <c r="D21" s="7" t="s">
        <v>133</v>
      </c>
      <c r="E21" s="7" t="s">
        <v>53</v>
      </c>
      <c r="F21" s="7" t="s">
        <v>149</v>
      </c>
      <c r="G21" s="7" t="s">
        <v>144</v>
      </c>
      <c r="H21" s="7" t="s">
        <v>150</v>
      </c>
      <c r="I21" s="7" t="s">
        <v>151</v>
      </c>
      <c r="J21" s="7" t="s">
        <v>152</v>
      </c>
      <c r="K21" s="7" t="s">
        <v>346</v>
      </c>
      <c r="L21" s="12" t="s">
        <v>302</v>
      </c>
      <c r="M21" s="7" t="s">
        <v>347</v>
      </c>
      <c r="N21" s="7"/>
    </row>
    <row r="22" spans="1:14" ht="74.5" customHeight="1">
      <c r="A22" s="5" t="s">
        <v>153</v>
      </c>
      <c r="B22" s="6" t="s">
        <v>108</v>
      </c>
      <c r="C22" s="7" t="s">
        <v>348</v>
      </c>
      <c r="D22" s="7" t="s">
        <v>154</v>
      </c>
      <c r="E22" s="7" t="s">
        <v>66</v>
      </c>
      <c r="F22" s="7" t="s">
        <v>155</v>
      </c>
      <c r="G22" s="7" t="s">
        <v>156</v>
      </c>
      <c r="H22" s="7" t="s">
        <v>157</v>
      </c>
      <c r="I22" s="7" t="s">
        <v>158</v>
      </c>
      <c r="J22" s="7" t="s">
        <v>159</v>
      </c>
      <c r="K22" s="7" t="s">
        <v>350</v>
      </c>
      <c r="L22" s="12" t="s">
        <v>302</v>
      </c>
      <c r="M22" s="19" t="s">
        <v>349</v>
      </c>
      <c r="N22" s="7"/>
    </row>
    <row r="23" spans="1:14" ht="97" customHeight="1">
      <c r="A23" s="5" t="s">
        <v>160</v>
      </c>
      <c r="B23" s="6" t="s">
        <v>108</v>
      </c>
      <c r="C23" s="7" t="s">
        <v>352</v>
      </c>
      <c r="D23" s="7" t="s">
        <v>154</v>
      </c>
      <c r="E23" s="7" t="s">
        <v>66</v>
      </c>
      <c r="F23" s="7" t="s">
        <v>161</v>
      </c>
      <c r="G23" s="7" t="s">
        <v>162</v>
      </c>
      <c r="H23" s="7" t="s">
        <v>163</v>
      </c>
      <c r="I23" s="7" t="s">
        <v>164</v>
      </c>
      <c r="J23" s="7" t="s">
        <v>165</v>
      </c>
      <c r="K23" s="7" t="s">
        <v>351</v>
      </c>
      <c r="L23" s="6" t="s">
        <v>302</v>
      </c>
      <c r="M23" s="7" t="s">
        <v>353</v>
      </c>
      <c r="N23" s="7"/>
    </row>
    <row r="24" spans="1:14" ht="87" customHeight="1">
      <c r="A24" s="5" t="s">
        <v>166</v>
      </c>
      <c r="B24" s="6" t="s">
        <v>108</v>
      </c>
      <c r="C24" s="7" t="s">
        <v>355</v>
      </c>
      <c r="D24" s="7" t="s">
        <v>154</v>
      </c>
      <c r="E24" s="7" t="s">
        <v>40</v>
      </c>
      <c r="F24" s="7" t="s">
        <v>167</v>
      </c>
      <c r="G24" s="7" t="s">
        <v>55</v>
      </c>
      <c r="H24" s="7" t="s">
        <v>168</v>
      </c>
      <c r="I24" s="7" t="s">
        <v>169</v>
      </c>
      <c r="J24" s="7" t="s">
        <v>170</v>
      </c>
      <c r="K24" s="11" t="s">
        <v>354</v>
      </c>
      <c r="L24" s="12" t="s">
        <v>302</v>
      </c>
      <c r="M24" s="7" t="s">
        <v>356</v>
      </c>
      <c r="N24" s="7"/>
    </row>
    <row r="25" spans="1:14" ht="79.5" customHeight="1">
      <c r="A25" s="5" t="s">
        <v>171</v>
      </c>
      <c r="B25" s="6" t="s">
        <v>108</v>
      </c>
      <c r="C25" s="7" t="s">
        <v>325</v>
      </c>
      <c r="D25" s="7" t="s">
        <v>109</v>
      </c>
      <c r="E25" s="7" t="s">
        <v>53</v>
      </c>
      <c r="F25" s="7" t="s">
        <v>172</v>
      </c>
      <c r="G25" s="7" t="s">
        <v>173</v>
      </c>
      <c r="H25" s="7" t="s">
        <v>174</v>
      </c>
      <c r="I25" s="7" t="s">
        <v>175</v>
      </c>
      <c r="J25" s="7" t="s">
        <v>176</v>
      </c>
      <c r="K25" s="7" t="s">
        <v>357</v>
      </c>
      <c r="L25" s="12" t="s">
        <v>358</v>
      </c>
      <c r="M25" s="7" t="s">
        <v>359</v>
      </c>
      <c r="N25" s="7"/>
    </row>
    <row r="26" spans="1:14" ht="264">
      <c r="A26" s="5" t="s">
        <v>177</v>
      </c>
      <c r="B26" s="6" t="s">
        <v>178</v>
      </c>
      <c r="C26" s="7" t="s">
        <v>179</v>
      </c>
      <c r="D26" s="7" t="s">
        <v>180</v>
      </c>
      <c r="E26" s="7" t="s">
        <v>66</v>
      </c>
      <c r="F26" s="11" t="s">
        <v>181</v>
      </c>
      <c r="G26" s="11" t="s">
        <v>182</v>
      </c>
      <c r="H26" s="11" t="s">
        <v>183</v>
      </c>
      <c r="I26" s="13" t="s">
        <v>184</v>
      </c>
      <c r="J26" s="11" t="s">
        <v>185</v>
      </c>
      <c r="K26" s="11" t="s">
        <v>299</v>
      </c>
      <c r="L26" s="12" t="s">
        <v>186</v>
      </c>
      <c r="M26" s="7" t="s">
        <v>187</v>
      </c>
      <c r="N26" s="7"/>
    </row>
    <row r="27" spans="1:14" ht="214.5">
      <c r="A27" s="5" t="s">
        <v>188</v>
      </c>
      <c r="B27" s="6" t="s">
        <v>178</v>
      </c>
      <c r="C27" s="7" t="s">
        <v>189</v>
      </c>
      <c r="D27" s="7" t="s">
        <v>180</v>
      </c>
      <c r="E27" s="7" t="s">
        <v>53</v>
      </c>
      <c r="F27" s="11" t="s">
        <v>190</v>
      </c>
      <c r="G27" s="11" t="s">
        <v>191</v>
      </c>
      <c r="H27" s="11" t="s">
        <v>192</v>
      </c>
      <c r="I27" s="13" t="s">
        <v>193</v>
      </c>
      <c r="J27" s="11" t="s">
        <v>194</v>
      </c>
      <c r="K27" s="11" t="s">
        <v>195</v>
      </c>
      <c r="L27" s="12" t="s">
        <v>186</v>
      </c>
      <c r="M27" s="7" t="s">
        <v>196</v>
      </c>
      <c r="N27" s="7"/>
    </row>
    <row r="28" spans="1:14" ht="264">
      <c r="A28" s="5" t="s">
        <v>197</v>
      </c>
      <c r="B28" s="6" t="s">
        <v>178</v>
      </c>
      <c r="C28" s="7" t="s">
        <v>189</v>
      </c>
      <c r="D28" s="7" t="s">
        <v>180</v>
      </c>
      <c r="E28" s="7" t="s">
        <v>53</v>
      </c>
      <c r="F28" s="7" t="s">
        <v>198</v>
      </c>
      <c r="G28" s="11" t="s">
        <v>199</v>
      </c>
      <c r="H28" s="11" t="s">
        <v>200</v>
      </c>
      <c r="I28" s="13" t="s">
        <v>201</v>
      </c>
      <c r="J28" s="11" t="s">
        <v>202</v>
      </c>
      <c r="K28" s="11" t="s">
        <v>203</v>
      </c>
      <c r="L28" s="12" t="s">
        <v>186</v>
      </c>
      <c r="M28" s="7" t="s">
        <v>204</v>
      </c>
      <c r="N28" s="7"/>
    </row>
    <row r="29" spans="1:14" ht="181.5">
      <c r="A29" s="5" t="s">
        <v>189</v>
      </c>
      <c r="B29" s="6" t="s">
        <v>178</v>
      </c>
      <c r="C29" s="7" t="s">
        <v>205</v>
      </c>
      <c r="D29" s="7" t="s">
        <v>180</v>
      </c>
      <c r="E29" s="7" t="s">
        <v>66</v>
      </c>
      <c r="F29" s="7" t="s">
        <v>206</v>
      </c>
      <c r="G29" s="11" t="s">
        <v>207</v>
      </c>
      <c r="H29" s="11" t="s">
        <v>208</v>
      </c>
      <c r="I29" s="13" t="s">
        <v>209</v>
      </c>
      <c r="J29" s="11" t="s">
        <v>300</v>
      </c>
      <c r="K29" s="11" t="s">
        <v>210</v>
      </c>
      <c r="L29" s="12" t="s">
        <v>186</v>
      </c>
      <c r="M29" s="7" t="s">
        <v>211</v>
      </c>
      <c r="N29" s="7"/>
    </row>
    <row r="30" spans="1:14" ht="181.5">
      <c r="A30" s="5" t="s">
        <v>212</v>
      </c>
      <c r="B30" s="6" t="s">
        <v>178</v>
      </c>
      <c r="C30" s="7" t="s">
        <v>213</v>
      </c>
      <c r="D30" s="7" t="s">
        <v>180</v>
      </c>
      <c r="E30" s="7" t="s">
        <v>40</v>
      </c>
      <c r="F30" s="7" t="s">
        <v>214</v>
      </c>
      <c r="G30" s="11" t="s">
        <v>215</v>
      </c>
      <c r="H30" s="11" t="s">
        <v>216</v>
      </c>
      <c r="I30" s="13" t="s">
        <v>217</v>
      </c>
      <c r="J30" s="11" t="s">
        <v>218</v>
      </c>
      <c r="K30" s="11" t="s">
        <v>219</v>
      </c>
      <c r="L30" s="12" t="s">
        <v>186</v>
      </c>
      <c r="M30" s="7" t="s">
        <v>220</v>
      </c>
      <c r="N30" s="7"/>
    </row>
    <row r="31" spans="1:14" ht="231">
      <c r="A31" s="5" t="s">
        <v>179</v>
      </c>
      <c r="B31" s="6" t="s">
        <v>178</v>
      </c>
      <c r="C31" s="7" t="s">
        <v>188</v>
      </c>
      <c r="D31" s="7" t="s">
        <v>180</v>
      </c>
      <c r="E31" s="7" t="s">
        <v>40</v>
      </c>
      <c r="F31" s="7" t="s">
        <v>221</v>
      </c>
      <c r="G31" s="11" t="s">
        <v>222</v>
      </c>
      <c r="H31" s="11" t="s">
        <v>223</v>
      </c>
      <c r="I31" s="13" t="s">
        <v>224</v>
      </c>
      <c r="J31" s="11" t="s">
        <v>225</v>
      </c>
      <c r="K31" s="11" t="s">
        <v>226</v>
      </c>
      <c r="L31" s="12" t="s">
        <v>186</v>
      </c>
      <c r="M31" s="7" t="s">
        <v>227</v>
      </c>
      <c r="N31" s="7"/>
    </row>
    <row r="32" spans="1:14" ht="247.5">
      <c r="A32" s="5" t="s">
        <v>228</v>
      </c>
      <c r="B32" s="6" t="s">
        <v>178</v>
      </c>
      <c r="C32" s="7" t="s">
        <v>228</v>
      </c>
      <c r="D32" s="7" t="s">
        <v>229</v>
      </c>
      <c r="E32" s="7" t="s">
        <v>66</v>
      </c>
      <c r="F32" s="7" t="s">
        <v>230</v>
      </c>
      <c r="G32" s="11" t="s">
        <v>231</v>
      </c>
      <c r="H32" s="11" t="s">
        <v>232</v>
      </c>
      <c r="I32" s="13" t="s">
        <v>233</v>
      </c>
      <c r="J32" s="11" t="s">
        <v>234</v>
      </c>
      <c r="K32" s="11" t="s">
        <v>235</v>
      </c>
      <c r="L32" s="12" t="s">
        <v>186</v>
      </c>
      <c r="M32" s="7" t="s">
        <v>236</v>
      </c>
      <c r="N32" s="7"/>
    </row>
    <row r="33" spans="1:14" ht="214.5">
      <c r="A33" s="5" t="s">
        <v>237</v>
      </c>
      <c r="B33" s="6" t="s">
        <v>178</v>
      </c>
      <c r="C33" s="7" t="s">
        <v>238</v>
      </c>
      <c r="D33" s="7" t="s">
        <v>229</v>
      </c>
      <c r="E33" s="7" t="s">
        <v>40</v>
      </c>
      <c r="F33" s="7" t="s">
        <v>239</v>
      </c>
      <c r="G33" s="11" t="s">
        <v>240</v>
      </c>
      <c r="H33" s="11" t="s">
        <v>241</v>
      </c>
      <c r="I33" s="13" t="s">
        <v>242</v>
      </c>
      <c r="J33" s="11" t="s">
        <v>243</v>
      </c>
      <c r="K33" s="11" t="s">
        <v>244</v>
      </c>
      <c r="L33" s="12" t="s">
        <v>186</v>
      </c>
      <c r="M33" s="7" t="s">
        <v>245</v>
      </c>
      <c r="N33" s="7"/>
    </row>
    <row r="34" spans="1:14" ht="247.5">
      <c r="A34" s="5" t="s">
        <v>238</v>
      </c>
      <c r="B34" s="6" t="s">
        <v>178</v>
      </c>
      <c r="C34" s="7" t="s">
        <v>246</v>
      </c>
      <c r="D34" s="7" t="s">
        <v>229</v>
      </c>
      <c r="E34" s="7" t="s">
        <v>53</v>
      </c>
      <c r="F34" s="7" t="s">
        <v>247</v>
      </c>
      <c r="G34" s="11" t="s">
        <v>248</v>
      </c>
      <c r="H34" s="11" t="s">
        <v>249</v>
      </c>
      <c r="I34" s="13" t="s">
        <v>250</v>
      </c>
      <c r="J34" s="11" t="s">
        <v>251</v>
      </c>
      <c r="K34" s="11" t="s">
        <v>252</v>
      </c>
      <c r="L34" s="12" t="s">
        <v>186</v>
      </c>
      <c r="M34" s="7" t="s">
        <v>253</v>
      </c>
      <c r="N34" s="7"/>
    </row>
    <row r="35" spans="1:14" ht="313.5">
      <c r="A35" s="5" t="s">
        <v>254</v>
      </c>
      <c r="B35" s="6" t="s">
        <v>178</v>
      </c>
      <c r="C35" s="7" t="s">
        <v>255</v>
      </c>
      <c r="D35" s="7" t="s">
        <v>256</v>
      </c>
      <c r="E35" s="7" t="s">
        <v>66</v>
      </c>
      <c r="F35" s="7" t="s">
        <v>257</v>
      </c>
      <c r="G35" s="11" t="s">
        <v>258</v>
      </c>
      <c r="H35" s="11" t="s">
        <v>259</v>
      </c>
      <c r="I35" s="13" t="s">
        <v>260</v>
      </c>
      <c r="J35" s="11" t="s">
        <v>261</v>
      </c>
      <c r="K35" s="11" t="s">
        <v>262</v>
      </c>
      <c r="L35" s="12" t="s">
        <v>186</v>
      </c>
      <c r="M35" s="7" t="s">
        <v>263</v>
      </c>
      <c r="N35" s="7"/>
    </row>
    <row r="36" spans="1:14" ht="231">
      <c r="A36" s="5" t="s">
        <v>246</v>
      </c>
      <c r="B36" s="6" t="s">
        <v>178</v>
      </c>
      <c r="C36" s="7" t="s">
        <v>264</v>
      </c>
      <c r="D36" s="7" t="s">
        <v>229</v>
      </c>
      <c r="E36" s="7" t="s">
        <v>66</v>
      </c>
      <c r="F36" s="7" t="s">
        <v>265</v>
      </c>
      <c r="G36" s="11" t="s">
        <v>266</v>
      </c>
      <c r="H36" s="11" t="s">
        <v>267</v>
      </c>
      <c r="I36" s="13" t="s">
        <v>268</v>
      </c>
      <c r="J36" s="11" t="s">
        <v>269</v>
      </c>
      <c r="K36" s="11" t="s">
        <v>270</v>
      </c>
      <c r="L36" s="12" t="s">
        <v>186</v>
      </c>
      <c r="M36" s="7" t="s">
        <v>271</v>
      </c>
      <c r="N36" s="7"/>
    </row>
    <row r="37" spans="1:14" ht="297">
      <c r="A37" s="5" t="s">
        <v>264</v>
      </c>
      <c r="B37" s="6" t="s">
        <v>178</v>
      </c>
      <c r="C37" s="7" t="s">
        <v>272</v>
      </c>
      <c r="D37" s="7" t="s">
        <v>229</v>
      </c>
      <c r="E37" s="7" t="s">
        <v>40</v>
      </c>
      <c r="F37" s="7" t="s">
        <v>273</v>
      </c>
      <c r="G37" s="11" t="s">
        <v>274</v>
      </c>
      <c r="H37" s="11" t="s">
        <v>275</v>
      </c>
      <c r="I37" s="13" t="s">
        <v>276</v>
      </c>
      <c r="J37" s="11" t="s">
        <v>277</v>
      </c>
      <c r="K37" s="11" t="s">
        <v>278</v>
      </c>
      <c r="L37" s="12" t="s">
        <v>186</v>
      </c>
      <c r="M37" s="7" t="s">
        <v>279</v>
      </c>
      <c r="N37" s="7"/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1"/>
  <sheetViews>
    <sheetView showGridLines="0" workbookViewId="0"/>
  </sheetViews>
  <sheetFormatPr defaultRowHeight="14"/>
  <cols>
    <col min="1" max="1" width="16" customWidth="1"/>
    <col min="2" max="2" width="90" customWidth="1"/>
    <col min="3" max="6" width="22" customWidth="1"/>
  </cols>
  <sheetData>
    <row r="1" spans="1:6">
      <c r="A1" s="8" t="s">
        <v>280</v>
      </c>
      <c r="B1" s="8" t="s">
        <v>281</v>
      </c>
      <c r="C1" s="8" t="s">
        <v>40</v>
      </c>
      <c r="D1" s="8" t="s">
        <v>53</v>
      </c>
      <c r="E1" s="8" t="s">
        <v>66</v>
      </c>
      <c r="F1" s="8" t="s">
        <v>282</v>
      </c>
    </row>
    <row r="2" spans="1:6" ht="28" customHeight="1">
      <c r="A2" s="7" t="s">
        <v>283</v>
      </c>
      <c r="B2" s="7">
        <f>COUNTIF(用例清单!B2:B37,"A")</f>
        <v>12</v>
      </c>
      <c r="C2" s="7">
        <f>COUNTIFS(用例清单!B2:B37,"A",用例清单!E2:E37,"等价类")</f>
        <v>5</v>
      </c>
      <c r="D2" s="7">
        <f>COUNTIFS(用例清单!B2:B37,"A",用例清单!E2:E37,"边界值")</f>
        <v>4</v>
      </c>
      <c r="E2" s="7">
        <f>COUNTIFS(用例清单!B2:B37,"A",用例清单!E2:E37,"场景法")</f>
        <v>3</v>
      </c>
      <c r="F2" s="7" t="s">
        <v>284</v>
      </c>
    </row>
    <row r="3" spans="1:6" ht="28" customHeight="1">
      <c r="A3" s="7" t="s">
        <v>285</v>
      </c>
      <c r="B3" s="7">
        <f>COUNTIF(用例清单!B2:B37,"B")</f>
        <v>12</v>
      </c>
      <c r="C3" s="7">
        <f>COUNTIFS(用例清单!B2:B37,"B",用例清单!E2:E37,"等价类")</f>
        <v>5</v>
      </c>
      <c r="D3" s="7">
        <f>COUNTIFS(用例清单!B2:B37,"B",用例清单!E2:E37,"边界值")</f>
        <v>4</v>
      </c>
      <c r="E3" s="7">
        <f>COUNTIFS(用例清单!B2:B37,"B",用例清单!E2:E37,"场景法")</f>
        <v>3</v>
      </c>
      <c r="F3" s="7" t="s">
        <v>284</v>
      </c>
    </row>
    <row r="4" spans="1:6" ht="28" customHeight="1">
      <c r="A4" s="7" t="s">
        <v>286</v>
      </c>
      <c r="B4" s="7">
        <f>COUNTIF(用例清单!B2:B37,"C")</f>
        <v>12</v>
      </c>
      <c r="C4" s="7">
        <f>COUNTIFS(用例清单!B2:B37,"C",用例清单!E2:E37,"等价类")</f>
        <v>4</v>
      </c>
      <c r="D4" s="7">
        <f>COUNTIFS(用例清单!B2:B37,"C",用例清单!E2:E37,"边界值")</f>
        <v>3</v>
      </c>
      <c r="E4" s="7">
        <f>COUNTIFS(用例清单!B2:B37,"C",用例清单!E2:E37,"场景法")</f>
        <v>5</v>
      </c>
      <c r="F4" s="7" t="s">
        <v>284</v>
      </c>
    </row>
    <row r="5" spans="1:6">
      <c r="A5" s="9" t="s">
        <v>287</v>
      </c>
      <c r="B5" s="9">
        <f>SUM(B2:B4)</f>
        <v>36</v>
      </c>
      <c r="C5" s="9">
        <f>SUM(C2:C4)</f>
        <v>14</v>
      </c>
      <c r="D5" s="9">
        <f>SUM(D2:D4)</f>
        <v>11</v>
      </c>
      <c r="E5" s="9">
        <f>SUM(E2:E4)</f>
        <v>11</v>
      </c>
      <c r="F5" s="9" t="s">
        <v>288</v>
      </c>
    </row>
    <row r="7" spans="1:6" ht="32" customHeight="1">
      <c r="A7" s="10" t="s">
        <v>289</v>
      </c>
      <c r="B7" s="2" t="s">
        <v>290</v>
      </c>
    </row>
    <row r="8" spans="1:6" ht="32" customHeight="1">
      <c r="A8" s="10" t="s">
        <v>291</v>
      </c>
      <c r="B8" s="2" t="s">
        <v>292</v>
      </c>
    </row>
    <row r="9" spans="1:6" ht="32" customHeight="1">
      <c r="A9" s="10" t="s">
        <v>293</v>
      </c>
      <c r="B9" s="2" t="s">
        <v>294</v>
      </c>
    </row>
    <row r="10" spans="1:6" ht="32" customHeight="1">
      <c r="A10" s="10" t="s">
        <v>295</v>
      </c>
      <c r="B10" s="2" t="s">
        <v>296</v>
      </c>
    </row>
    <row r="11" spans="1:6" ht="32" customHeight="1">
      <c r="A11" s="10" t="s">
        <v>297</v>
      </c>
      <c r="B11" s="2" t="s">
        <v>298</v>
      </c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填写说明</vt:lpstr>
      <vt:lpstr>用例清单</vt:lpstr>
      <vt:lpstr>覆盖矩阵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ZhiRui Fu</cp:lastModifiedBy>
  <dcterms:modified xsi:type="dcterms:W3CDTF">2026-09-22T08:41:39Z</dcterms:modified>
</cp:coreProperties>
</file>