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32915\Desktop\软件测试\campus-fresh-quality-lab\docs\testing\"/>
    </mc:Choice>
  </mc:AlternateContent>
  <xr:revisionPtr revIDLastSave="0" documentId="13_ncr:1_{C1BDA071-EADB-4EBC-87D3-62C74509FA8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填写说明" sheetId="1" r:id="rId1"/>
    <sheet name="用例清单" sheetId="2" r:id="rId2"/>
    <sheet name="覆盖矩阵" sheetId="3" r:id="rId3"/>
  </sheets>
  <calcPr calcId="191029"/>
</workbook>
</file>

<file path=xl/calcChain.xml><?xml version="1.0" encoding="utf-8"?>
<calcChain xmlns="http://schemas.openxmlformats.org/spreadsheetml/2006/main">
  <c r="E4" i="3" l="1"/>
  <c r="D4" i="3"/>
  <c r="C4" i="3"/>
  <c r="B4" i="3"/>
  <c r="E3" i="3"/>
  <c r="D3" i="3"/>
  <c r="C3" i="3"/>
  <c r="B3" i="3"/>
  <c r="E2" i="3"/>
  <c r="E5" i="3" s="1"/>
  <c r="D2" i="3"/>
  <c r="D5" i="3" s="1"/>
  <c r="C2" i="3"/>
  <c r="C5" i="3" s="1"/>
  <c r="B2" i="3"/>
  <c r="B5" i="3" s="1"/>
</calcChain>
</file>

<file path=xl/sharedStrings.xml><?xml version="1.0" encoding="utf-8"?>
<sst xmlns="http://schemas.openxmlformats.org/spreadsheetml/2006/main" count="320" uniqueCount="175">
  <si>
    <t>校园鲜达｜模块一人工测试用例记录表</t>
  </si>
  <si>
    <t>用途</t>
  </si>
  <si>
    <t>本表提供 36 条需求覆盖框架，供三位成员按作业要求亲自补写、执行和留存证据。</t>
  </si>
  <si>
    <t>课程边界</t>
  </si>
  <si>
    <t>作业书要求人工测试用例由小组成员自行设计和执行；本表的空白执行字段不能直接作为最终人工记录提交。</t>
  </si>
  <si>
    <t>完成标准</t>
  </si>
  <si>
    <t>至少保留 30 条有效用例；每条补齐前置条件、步骤、输入、预期、实际、结果和证据路径。</t>
  </si>
  <si>
    <t>方法要求</t>
  </si>
  <si>
    <t>至少使用等价类、边界值、场景法中的两类；本表已分配建议方法，成员可依据实际设计调整。</t>
  </si>
  <si>
    <t>证据要求</t>
  </si>
  <si>
    <t>截图或录屏应包含页面/接口结果、账号或数据前置条件、执行时间，并与用例编号一致。</t>
  </si>
  <si>
    <t>分工</t>
  </si>
  <si>
    <t>A：用户、登录、地址；B：商品、搜索、浏览历史；C：购物车、订单、库存。</t>
  </si>
  <si>
    <t>状态填写</t>
  </si>
  <si>
    <t>未执行 / 通过 / 失败 / 阻塞；失败用例必须关联缺陷编号。</t>
  </si>
  <si>
    <t>数据安全</t>
  </si>
  <si>
    <t>仅使用脱敏演示账号和 load_demo_data 生成的演示商品，不填写真实手机号、地址或密码。</t>
  </si>
  <si>
    <t>当前自动化回归基线</t>
  </si>
  <si>
    <t>78 个测试全部通过（以仓库当前版本实际运行结果为准）</t>
  </si>
  <si>
    <t>演示数据</t>
  </si>
  <si>
    <t>6 个分类、24 个商品，可运行 manage.py load_demo_data 幂等加载</t>
  </si>
  <si>
    <t>组长复核</t>
  </si>
  <si>
    <t>合并前检查每位成员是否补齐自己的人工执行字段，并核对 Git 提交作者与用例负责人</t>
  </si>
  <si>
    <t>用例编号</t>
  </si>
  <si>
    <t>负责人</t>
  </si>
  <si>
    <t>需求编号</t>
  </si>
  <si>
    <t>模块</t>
  </si>
  <si>
    <t>设计方法</t>
  </si>
  <si>
    <t>用例名称（成员可修改）</t>
  </si>
  <si>
    <t>前置条件（成员补写）</t>
  </si>
  <si>
    <t>测试步骤（成员补写）</t>
  </si>
  <si>
    <t>输入数据（成员补写）</t>
  </si>
  <si>
    <t>预期结果（成员补写）</t>
  </si>
  <si>
    <t>实际结果（成员执行）</t>
  </si>
  <si>
    <t>状态</t>
  </si>
  <si>
    <t>证据路径</t>
  </si>
  <si>
    <t>缺陷编号</t>
  </si>
  <si>
    <t>A-USER-001</t>
  </si>
  <si>
    <t>A</t>
  </si>
  <si>
    <t>A-LOGIN-001</t>
  </si>
  <si>
    <t>用户/登录</t>
  </si>
  <si>
    <t>等价类</t>
  </si>
  <si>
    <t>合法账号密码登录</t>
  </si>
  <si>
    <t>未执行</t>
  </si>
  <si>
    <t>A-USER-002</t>
  </si>
  <si>
    <t>A-LOGIN-002</t>
  </si>
  <si>
    <t>错误密码登录</t>
  </si>
  <si>
    <t>A-USER-003</t>
  </si>
  <si>
    <t>A-LOGIN-003</t>
  </si>
  <si>
    <t>边界值</t>
  </si>
  <si>
    <t>账号为空提交登录</t>
  </si>
  <si>
    <t>A-USER-004</t>
  </si>
  <si>
    <t>A-LOGIN-004</t>
  </si>
  <si>
    <t>密码为空提交登录</t>
  </si>
  <si>
    <t>A-USER-005</t>
  </si>
  <si>
    <t>A-LOGIN-005</t>
  </si>
  <si>
    <t>场景法</t>
  </si>
  <si>
    <t>登录后刷新页面会话保持</t>
  </si>
  <si>
    <t>A-USER-006</t>
  </si>
  <si>
    <t>A-LOGIN-006</t>
  </si>
  <si>
    <t>退出后访问受保护页面</t>
  </si>
  <si>
    <t>A-USER-007</t>
  </si>
  <si>
    <t>A-REG-001</t>
  </si>
  <si>
    <t>用户/注册</t>
  </si>
  <si>
    <t>合法新用户注册</t>
  </si>
  <si>
    <t>A-USER-008</t>
  </si>
  <si>
    <t>A-REG-002</t>
  </si>
  <si>
    <t>重复用户名注册</t>
  </si>
  <si>
    <t>A-USER-009</t>
  </si>
  <si>
    <t>A-REG-003</t>
  </si>
  <si>
    <t>注册密码长度边界</t>
  </si>
  <si>
    <t>A-USER-010</t>
  </si>
  <si>
    <t>用户中心</t>
  </si>
  <si>
    <t>用户中心展示当前用户信息</t>
  </si>
  <si>
    <t>A-USER-011</t>
  </si>
  <si>
    <t>A-ADDR-001</t>
  </si>
  <si>
    <t>收货地址</t>
  </si>
  <si>
    <t>新增完整收货地址</t>
  </si>
  <si>
    <t>A-USER-012</t>
  </si>
  <si>
    <t>A-ADDR-002</t>
  </si>
  <si>
    <t>地址必填字段为空</t>
  </si>
  <si>
    <t>B-GOODS-001</t>
  </si>
  <si>
    <t>B</t>
  </si>
  <si>
    <t>商品浏览</t>
  </si>
  <si>
    <t>首页按分类展示商品</t>
  </si>
  <si>
    <t>B-GOODS-002</t>
  </si>
  <si>
    <t>商品详情展示价格库存和图片</t>
  </si>
  <si>
    <t>B-GOODS-003</t>
  </si>
  <si>
    <t>商品库存为零时详情状态</t>
  </si>
  <si>
    <t>B-GOODS-004</t>
  </si>
  <si>
    <t>逻辑删除商品不出现在列表</t>
  </si>
  <si>
    <t>B-GOODS-005</t>
  </si>
  <si>
    <t>B-SEARCH-001</t>
  </si>
  <si>
    <t>搜索</t>
  </si>
  <si>
    <t>按完整关键词搜索商品</t>
  </si>
  <si>
    <t>B-GOODS-006</t>
  </si>
  <si>
    <t>B-SEARCH-002</t>
  </si>
  <si>
    <t>按部分关键词搜索商品</t>
  </si>
  <si>
    <t>B-GOODS-007</t>
  </si>
  <si>
    <t>B-SEARCH-003</t>
  </si>
  <si>
    <t>空关键词搜索</t>
  </si>
  <si>
    <t>B-GOODS-008</t>
  </si>
  <si>
    <t>B-SEARCH-004</t>
  </si>
  <si>
    <t>超长关键词搜索</t>
  </si>
  <si>
    <t>B-GOODS-009</t>
  </si>
  <si>
    <t>B-HISTORY-001</t>
  </si>
  <si>
    <t>浏览历史</t>
  </si>
  <si>
    <t>登录用户浏览商品后记录历史</t>
  </si>
  <si>
    <t>B-GOODS-010</t>
  </si>
  <si>
    <t>B-HISTORY-002</t>
  </si>
  <si>
    <t>重复浏览同一商品历史去重或更新</t>
  </si>
  <si>
    <t>B-GOODS-011</t>
  </si>
  <si>
    <t>B-HISTORY-003</t>
  </si>
  <si>
    <t>未登录用户访问历史页</t>
  </si>
  <si>
    <t>B-GOODS-012</t>
  </si>
  <si>
    <t>无效商品编号访问详情</t>
  </si>
  <si>
    <t>C-CART-001</t>
  </si>
  <si>
    <t>C</t>
  </si>
  <si>
    <t>购物车</t>
  </si>
  <si>
    <t>C-CART-002</t>
  </si>
  <si>
    <t>C-CART-003</t>
  </si>
  <si>
    <t>C-CART-004</t>
  </si>
  <si>
    <t>加入数量超过库存</t>
  </si>
  <si>
    <t>C-CART-006</t>
  </si>
  <si>
    <t>修改购物车数量并重新计算小计</t>
  </si>
  <si>
    <t>C-CART-005</t>
  </si>
  <si>
    <t>C-CART-008</t>
  </si>
  <si>
    <t>删除自己的购物车条目</t>
  </si>
  <si>
    <t>C-CART-009</t>
  </si>
  <si>
    <t>用户不能修改他人购物车条目</t>
  </si>
  <si>
    <t>C-ORD-001</t>
  </si>
  <si>
    <t>订单</t>
  </si>
  <si>
    <t>从购物车提交订单</t>
  </si>
  <si>
    <t>C-ORD-002</t>
  </si>
  <si>
    <t>C-ORD-003</t>
  </si>
  <si>
    <t>无收货地址提交订单</t>
  </si>
  <si>
    <t>C-ORD-005</t>
  </si>
  <si>
    <t>篡改前端总额后提交订单</t>
  </si>
  <si>
    <t>C-ORD-004</t>
  </si>
  <si>
    <t>C-INV-004</t>
  </si>
  <si>
    <t>库存</t>
  </si>
  <si>
    <t>库存不足时下单回滚</t>
  </si>
  <si>
    <t>C-ORD-006</t>
  </si>
  <si>
    <t>连续创建两笔订单编号唯一</t>
  </si>
  <si>
    <t>C-ORD-010</t>
  </si>
  <si>
    <t>无效购物车编号提交订单</t>
  </si>
  <si>
    <t>覆盖矩阵（自动汇总）</t>
  </si>
  <si>
    <t>总数</t>
  </si>
  <si>
    <t>完成状态</t>
  </si>
  <si>
    <t>成员 A｜用户与地址</t>
  </si>
  <si>
    <t>成员补录</t>
  </si>
  <si>
    <t>成员 B｜商品与搜索</t>
  </si>
  <si>
    <t>成员 C｜购物车与订单</t>
  </si>
  <si>
    <t>合计</t>
  </si>
  <si>
    <t>目标 ≥30 条</t>
  </si>
  <si>
    <t>填写顺序</t>
  </si>
  <si>
    <t>负责人先补写前置条件、步骤、输入和预期，再执行并填写实际结果、状态、证据路径</t>
  </si>
  <si>
    <t>方法覆盖</t>
  </si>
  <si>
    <t>至少保留两种方法；当前框架已覆盖三种方法</t>
  </si>
  <si>
    <t>缺陷关联</t>
  </si>
  <si>
    <t>失败用例在 N 列填写 D-01、D-02 等缺陷编号</t>
  </si>
  <si>
    <t>提交前复核</t>
  </si>
  <si>
    <t>删除未执行或空字段行前，确保仍有至少 30 条完整人工用例</t>
  </si>
  <si>
    <t>版本记录</t>
  </si>
  <si>
    <t>在 Git 提交中分别由成员使用个人账号提交自己的用例记录和证据</t>
  </si>
  <si>
    <t>登录用户加入商品并查看购物车</t>
    <phoneticPr fontId="7" type="noConversion"/>
  </si>
  <si>
    <t>1) 已启动服务，可通过 http://127.0.0.1:8000/ 访问；2) 数据库中已存在账号 test01（密码 123456），且该账号购物车为空；3) 目标商品未被逻辑删除、所属分类有效、库存 ≥ 1；4) 当前浏览器未登录任何账号</t>
    <phoneticPr fontId="7" type="noConversion"/>
  </si>
  <si>
    <t>1. 打开 /user/login/，输入用户名 test01、密码 123456，点击【登录】
2. 确认页面跳转到首页 /
3. 打开目标商品详情页 /4/
4. 在数量输入框填入 1，点击【加入购物车】
5. 打开购物车页 /cart/</t>
    <phoneticPr fontId="7" type="noConversion"/>
  </si>
  <si>
    <r>
      <rPr>
        <sz val="11"/>
        <rFont val="微软雅黑"/>
        <family val="2"/>
        <charset val="134"/>
      </rPr>
      <t>账号</t>
    </r>
    <r>
      <rPr>
        <sz val="11"/>
        <rFont val="Arial"/>
        <family val="2"/>
      </rPr>
      <t>=test01 / 123456</t>
    </r>
    <r>
      <rPr>
        <sz val="11"/>
        <rFont val="微软雅黑"/>
        <family val="2"/>
        <charset val="134"/>
      </rPr>
      <t>；商品编号</t>
    </r>
    <r>
      <rPr>
        <sz val="11"/>
        <rFont val="Arial"/>
        <family val="2"/>
      </rPr>
      <t>=4</t>
    </r>
    <r>
      <rPr>
        <sz val="11"/>
        <rFont val="微软雅黑"/>
        <family val="2"/>
        <charset val="134"/>
      </rPr>
      <t>；加购数量</t>
    </r>
    <r>
      <rPr>
        <sz val="11"/>
        <rFont val="Arial"/>
        <family val="2"/>
      </rPr>
      <t>=1</t>
    </r>
    <phoneticPr fontId="7" type="noConversion"/>
  </si>
  <si>
    <t>1. 步骤 2 后跳转到首页，右上角显示已登录
2. 购物车页出现 1 行商品，名称 = 海南小台芒
3. 该行数量 = 1
4. 该行商品单价 =9.90元
5. 该行"小计" = 单价×数量 = 9.90 元
6. "合计(不含运费)" = 9.90 元，与第 5 项一致
7. 页面显示"共 1 件商品"</t>
    <phoneticPr fontId="7" type="noConversion"/>
  </si>
  <si>
    <t>购物车中显示存在海南小台芒数量为1，单价9.90元，页面显示共一件商品</t>
    <phoneticPr fontId="7" type="noConversion"/>
  </si>
  <si>
    <t>通过</t>
    <phoneticPr fontId="7" type="noConversion"/>
  </si>
  <si>
    <t>docs/testing/evidence/C-CART-001-加购后购物车.png</t>
    <phoneticPr fontId="7" type="noConversion"/>
  </si>
  <si>
    <t>1) 已启动服务，可通过 http://127.0.0.1:8000/ 访问；2) 数据库中已存在账号 test01（密码 123456），且该账号购物车为空；3) 目标商品未被逻辑删除、所属分类有效、库存 ≥ 1；5) 当前浏览器未登录任何账号</t>
  </si>
  <si>
    <t>加入数量为零或负数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</si>
</sst>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1"/>
      <color rgb="FF17365D"/>
      <name val="Carlito"/>
    </font>
    <font>
      <b/>
      <sz val="18"/>
      <color rgb="FFFFFFFF"/>
      <name val="Carlito"/>
    </font>
    <font>
      <b/>
      <sz val="11"/>
      <color rgb="FF375623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sz val="11"/>
      <name val="Arial"/>
      <family val="2"/>
    </font>
    <font>
      <sz val="11"/>
      <name val="Carlito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2" borderId="0" xfId="1" applyFont="1" applyFill="1" applyAlignment="1">
      <alignment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wrapText="1"/>
    </xf>
    <xf numFmtId="0" fontId="4" fillId="3" borderId="1" xfId="1" applyFont="1" applyFill="1" applyBorder="1" applyAlignment="1">
      <alignment horizontal="center" vertical="center" wrapText="1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 wrapText="1"/>
    </xf>
    <xf numFmtId="0" fontId="0" fillId="0" borderId="1" xfId="1" applyFont="1" applyBorder="1" applyAlignment="1">
      <alignment vertical="center" wrapText="1"/>
    </xf>
    <xf numFmtId="0" fontId="4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vertical="center" wrapText="1"/>
    </xf>
    <xf numFmtId="0" fontId="1" fillId="2" borderId="0" xfId="1" applyFont="1" applyFill="1" applyAlignment="1">
      <alignment wrapText="1"/>
    </xf>
    <xf numFmtId="0" fontId="2" fillId="3" borderId="0" xfId="1" applyFont="1" applyFill="1" applyAlignment="1">
      <alignment horizontal="center" vertical="center"/>
    </xf>
    <xf numFmtId="0" fontId="8" fillId="0" borderId="1" xfId="1" applyFont="1" applyBorder="1" applyAlignment="1">
      <alignment vertical="center" wrapText="1"/>
    </xf>
    <xf numFmtId="0" fontId="8" fillId="0" borderId="1" xfId="1" applyFont="1" applyBorder="1" applyAlignment="1">
      <alignment horizontal="center" vertical="center" wrapText="1"/>
    </xf>
    <xf numFmtId="0" fontId="10" fillId="0" borderId="1" xfId="1" applyFont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showGridLines="0" workbookViewId="0">
      <selection activeCell="B3" sqref="B3"/>
    </sheetView>
  </sheetViews>
  <sheetFormatPr defaultRowHeight="14"/>
  <cols>
    <col min="1" max="1" width="16" customWidth="1"/>
    <col min="2" max="2" width="92" customWidth="1"/>
  </cols>
  <sheetData>
    <row r="1" spans="1:8" ht="34" customHeight="1">
      <c r="A1" s="11" t="s">
        <v>0</v>
      </c>
      <c r="B1" s="11"/>
      <c r="C1" s="11"/>
      <c r="D1" s="11"/>
      <c r="E1" s="11"/>
      <c r="F1" s="11"/>
      <c r="G1" s="11"/>
      <c r="H1" s="11"/>
    </row>
    <row r="3" spans="1:8" ht="32" customHeight="1">
      <c r="A3" s="1" t="s">
        <v>1</v>
      </c>
      <c r="B3" s="2" t="s">
        <v>2</v>
      </c>
    </row>
    <row r="4" spans="1:8" ht="32" customHeight="1">
      <c r="A4" s="1" t="s">
        <v>3</v>
      </c>
      <c r="B4" s="2" t="s">
        <v>4</v>
      </c>
    </row>
    <row r="5" spans="1:8" ht="32" customHeight="1">
      <c r="A5" s="1" t="s">
        <v>5</v>
      </c>
      <c r="B5" s="2" t="s">
        <v>6</v>
      </c>
    </row>
    <row r="6" spans="1:8" ht="32" customHeight="1">
      <c r="A6" s="1" t="s">
        <v>7</v>
      </c>
      <c r="B6" s="2" t="s">
        <v>8</v>
      </c>
    </row>
    <row r="7" spans="1:8" ht="32" customHeight="1">
      <c r="A7" s="1" t="s">
        <v>9</v>
      </c>
      <c r="B7" s="2" t="s">
        <v>10</v>
      </c>
    </row>
    <row r="8" spans="1:8" ht="32" customHeight="1">
      <c r="A8" s="1" t="s">
        <v>11</v>
      </c>
      <c r="B8" s="2" t="s">
        <v>12</v>
      </c>
    </row>
    <row r="9" spans="1:8" ht="32" customHeight="1">
      <c r="A9" s="1" t="s">
        <v>13</v>
      </c>
      <c r="B9" s="2" t="s">
        <v>14</v>
      </c>
    </row>
    <row r="10" spans="1:8" ht="32" customHeight="1">
      <c r="A10" s="1" t="s">
        <v>15</v>
      </c>
      <c r="B10" s="2" t="s">
        <v>16</v>
      </c>
    </row>
    <row r="12" spans="1:8" ht="28">
      <c r="A12" s="3" t="s">
        <v>17</v>
      </c>
      <c r="B12" s="2" t="s">
        <v>18</v>
      </c>
    </row>
    <row r="13" spans="1:8">
      <c r="A13" s="3" t="s">
        <v>19</v>
      </c>
      <c r="B13" s="2" t="s">
        <v>20</v>
      </c>
    </row>
    <row r="14" spans="1:8">
      <c r="A14" s="3" t="s">
        <v>21</v>
      </c>
      <c r="B14" s="2" t="s">
        <v>22</v>
      </c>
    </row>
  </sheetData>
  <mergeCells count="1">
    <mergeCell ref="A1:H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7"/>
  <sheetViews>
    <sheetView showGridLines="0" tabSelected="1" topLeftCell="C1" workbookViewId="0">
      <pane ySplit="1" topLeftCell="A26" activePane="bottomLeft" state="frozen"/>
      <selection pane="bottomLeft" activeCell="G26" sqref="G26"/>
    </sheetView>
  </sheetViews>
  <sheetFormatPr defaultRowHeight="14"/>
  <cols>
    <col min="1" max="1" width="16" customWidth="1"/>
    <col min="2" max="2" width="10" customWidth="1"/>
    <col min="3" max="3" width="15" customWidth="1"/>
    <col min="4" max="4" width="16" customWidth="1"/>
    <col min="5" max="5" width="12" customWidth="1"/>
    <col min="6" max="6" width="28" customWidth="1"/>
    <col min="7" max="7" width="30" customWidth="1"/>
    <col min="8" max="8" width="42" customWidth="1"/>
    <col min="9" max="9" width="24" customWidth="1"/>
    <col min="10" max="11" width="30" customWidth="1"/>
    <col min="12" max="12" width="12" customWidth="1"/>
    <col min="13" max="13" width="28" customWidth="1"/>
    <col min="14" max="14" width="16" customWidth="1"/>
  </cols>
  <sheetData>
    <row r="1" spans="1:14" ht="30" customHeight="1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35</v>
      </c>
      <c r="N1" s="4" t="s">
        <v>36</v>
      </c>
    </row>
    <row r="2" spans="1:14" ht="36" customHeight="1">
      <c r="A2" s="5" t="s">
        <v>37</v>
      </c>
      <c r="B2" s="6" t="s">
        <v>38</v>
      </c>
      <c r="C2" s="7" t="s">
        <v>39</v>
      </c>
      <c r="D2" s="7" t="s">
        <v>40</v>
      </c>
      <c r="E2" s="7" t="s">
        <v>41</v>
      </c>
      <c r="F2" s="7" t="s">
        <v>42</v>
      </c>
      <c r="G2" s="7"/>
      <c r="H2" s="7"/>
      <c r="I2" s="7"/>
      <c r="J2" s="7"/>
      <c r="K2" s="7"/>
      <c r="L2" s="6" t="s">
        <v>43</v>
      </c>
      <c r="M2" s="7"/>
      <c r="N2" s="7"/>
    </row>
    <row r="3" spans="1:14" ht="36" customHeight="1">
      <c r="A3" s="5" t="s">
        <v>44</v>
      </c>
      <c r="B3" s="6" t="s">
        <v>38</v>
      </c>
      <c r="C3" s="7" t="s">
        <v>45</v>
      </c>
      <c r="D3" s="7" t="s">
        <v>40</v>
      </c>
      <c r="E3" s="7" t="s">
        <v>41</v>
      </c>
      <c r="F3" s="7" t="s">
        <v>46</v>
      </c>
      <c r="G3" s="7"/>
      <c r="H3" s="7"/>
      <c r="I3" s="7"/>
      <c r="J3" s="7"/>
      <c r="K3" s="7"/>
      <c r="L3" s="6" t="s">
        <v>43</v>
      </c>
      <c r="M3" s="7"/>
      <c r="N3" s="7"/>
    </row>
    <row r="4" spans="1:14" ht="36" customHeight="1">
      <c r="A4" s="5" t="s">
        <v>47</v>
      </c>
      <c r="B4" s="6" t="s">
        <v>38</v>
      </c>
      <c r="C4" s="7" t="s">
        <v>48</v>
      </c>
      <c r="D4" s="7" t="s">
        <v>40</v>
      </c>
      <c r="E4" s="7" t="s">
        <v>49</v>
      </c>
      <c r="F4" s="7" t="s">
        <v>50</v>
      </c>
      <c r="G4" s="7"/>
      <c r="H4" s="7"/>
      <c r="I4" s="7"/>
      <c r="J4" s="7"/>
      <c r="K4" s="7"/>
      <c r="L4" s="6" t="s">
        <v>43</v>
      </c>
      <c r="M4" s="7"/>
      <c r="N4" s="7"/>
    </row>
    <row r="5" spans="1:14" ht="36" customHeight="1">
      <c r="A5" s="5" t="s">
        <v>51</v>
      </c>
      <c r="B5" s="6" t="s">
        <v>38</v>
      </c>
      <c r="C5" s="7" t="s">
        <v>52</v>
      </c>
      <c r="D5" s="7" t="s">
        <v>40</v>
      </c>
      <c r="E5" s="7" t="s">
        <v>49</v>
      </c>
      <c r="F5" s="7" t="s">
        <v>53</v>
      </c>
      <c r="G5" s="7"/>
      <c r="H5" s="7"/>
      <c r="I5" s="7"/>
      <c r="J5" s="7"/>
      <c r="K5" s="7"/>
      <c r="L5" s="6" t="s">
        <v>43</v>
      </c>
      <c r="M5" s="7"/>
      <c r="N5" s="7"/>
    </row>
    <row r="6" spans="1:14" ht="36" customHeight="1">
      <c r="A6" s="5" t="s">
        <v>54</v>
      </c>
      <c r="B6" s="6" t="s">
        <v>38</v>
      </c>
      <c r="C6" s="7" t="s">
        <v>55</v>
      </c>
      <c r="D6" s="7" t="s">
        <v>40</v>
      </c>
      <c r="E6" s="7" t="s">
        <v>56</v>
      </c>
      <c r="F6" s="7" t="s">
        <v>57</v>
      </c>
      <c r="G6" s="7"/>
      <c r="H6" s="7"/>
      <c r="I6" s="7"/>
      <c r="J6" s="7"/>
      <c r="K6" s="7"/>
      <c r="L6" s="6" t="s">
        <v>43</v>
      </c>
      <c r="M6" s="7"/>
      <c r="N6" s="7"/>
    </row>
    <row r="7" spans="1:14" ht="36" customHeight="1">
      <c r="A7" s="5" t="s">
        <v>58</v>
      </c>
      <c r="B7" s="6" t="s">
        <v>38</v>
      </c>
      <c r="C7" s="7" t="s">
        <v>59</v>
      </c>
      <c r="D7" s="7" t="s">
        <v>40</v>
      </c>
      <c r="E7" s="7" t="s">
        <v>56</v>
      </c>
      <c r="F7" s="7" t="s">
        <v>60</v>
      </c>
      <c r="G7" s="7"/>
      <c r="H7" s="7"/>
      <c r="I7" s="7"/>
      <c r="J7" s="7"/>
      <c r="K7" s="7"/>
      <c r="L7" s="6" t="s">
        <v>43</v>
      </c>
      <c r="M7" s="7"/>
      <c r="N7" s="7"/>
    </row>
    <row r="8" spans="1:14" ht="36" customHeight="1">
      <c r="A8" s="5" t="s">
        <v>61</v>
      </c>
      <c r="B8" s="6" t="s">
        <v>38</v>
      </c>
      <c r="C8" s="7" t="s">
        <v>62</v>
      </c>
      <c r="D8" s="7" t="s">
        <v>63</v>
      </c>
      <c r="E8" s="7" t="s">
        <v>41</v>
      </c>
      <c r="F8" s="7" t="s">
        <v>64</v>
      </c>
      <c r="G8" s="7"/>
      <c r="H8" s="7"/>
      <c r="I8" s="7"/>
      <c r="J8" s="7"/>
      <c r="K8" s="7"/>
      <c r="L8" s="6" t="s">
        <v>43</v>
      </c>
      <c r="M8" s="7"/>
      <c r="N8" s="7"/>
    </row>
    <row r="9" spans="1:14" ht="36" customHeight="1">
      <c r="A9" s="5" t="s">
        <v>65</v>
      </c>
      <c r="B9" s="6" t="s">
        <v>38</v>
      </c>
      <c r="C9" s="7" t="s">
        <v>66</v>
      </c>
      <c r="D9" s="7" t="s">
        <v>63</v>
      </c>
      <c r="E9" s="7" t="s">
        <v>41</v>
      </c>
      <c r="F9" s="7" t="s">
        <v>67</v>
      </c>
      <c r="G9" s="7"/>
      <c r="H9" s="7"/>
      <c r="I9" s="7"/>
      <c r="J9" s="7"/>
      <c r="K9" s="7"/>
      <c r="L9" s="6" t="s">
        <v>43</v>
      </c>
      <c r="M9" s="7"/>
      <c r="N9" s="7"/>
    </row>
    <row r="10" spans="1:14" ht="36" customHeight="1">
      <c r="A10" s="5" t="s">
        <v>68</v>
      </c>
      <c r="B10" s="6" t="s">
        <v>38</v>
      </c>
      <c r="C10" s="7" t="s">
        <v>69</v>
      </c>
      <c r="D10" s="7" t="s">
        <v>63</v>
      </c>
      <c r="E10" s="7" t="s">
        <v>49</v>
      </c>
      <c r="F10" s="7" t="s">
        <v>70</v>
      </c>
      <c r="G10" s="7"/>
      <c r="H10" s="7"/>
      <c r="I10" s="7"/>
      <c r="J10" s="7"/>
      <c r="K10" s="7"/>
      <c r="L10" s="6" t="s">
        <v>43</v>
      </c>
      <c r="M10" s="7"/>
      <c r="N10" s="7"/>
    </row>
    <row r="11" spans="1:14" ht="36" customHeight="1">
      <c r="A11" s="5" t="s">
        <v>71</v>
      </c>
      <c r="B11" s="6" t="s">
        <v>38</v>
      </c>
      <c r="C11" s="7" t="s">
        <v>37</v>
      </c>
      <c r="D11" s="7" t="s">
        <v>72</v>
      </c>
      <c r="E11" s="7" t="s">
        <v>56</v>
      </c>
      <c r="F11" s="7" t="s">
        <v>73</v>
      </c>
      <c r="G11" s="7"/>
      <c r="H11" s="7"/>
      <c r="I11" s="7"/>
      <c r="J11" s="7"/>
      <c r="K11" s="7"/>
      <c r="L11" s="6" t="s">
        <v>43</v>
      </c>
      <c r="M11" s="7"/>
      <c r="N11" s="7"/>
    </row>
    <row r="12" spans="1:14" ht="36" customHeight="1">
      <c r="A12" s="5" t="s">
        <v>74</v>
      </c>
      <c r="B12" s="6" t="s">
        <v>38</v>
      </c>
      <c r="C12" s="7" t="s">
        <v>75</v>
      </c>
      <c r="D12" s="7" t="s">
        <v>76</v>
      </c>
      <c r="E12" s="7" t="s">
        <v>41</v>
      </c>
      <c r="F12" s="7" t="s">
        <v>77</v>
      </c>
      <c r="G12" s="7"/>
      <c r="H12" s="7"/>
      <c r="I12" s="7"/>
      <c r="J12" s="7"/>
      <c r="K12" s="7"/>
      <c r="L12" s="6" t="s">
        <v>43</v>
      </c>
      <c r="M12" s="7"/>
      <c r="N12" s="7"/>
    </row>
    <row r="13" spans="1:14" ht="36" customHeight="1">
      <c r="A13" s="5" t="s">
        <v>78</v>
      </c>
      <c r="B13" s="6" t="s">
        <v>38</v>
      </c>
      <c r="C13" s="7" t="s">
        <v>79</v>
      </c>
      <c r="D13" s="7" t="s">
        <v>76</v>
      </c>
      <c r="E13" s="7" t="s">
        <v>49</v>
      </c>
      <c r="F13" s="7" t="s">
        <v>80</v>
      </c>
      <c r="G13" s="7"/>
      <c r="H13" s="7"/>
      <c r="I13" s="7"/>
      <c r="J13" s="7"/>
      <c r="K13" s="7"/>
      <c r="L13" s="6" t="s">
        <v>43</v>
      </c>
      <c r="M13" s="7"/>
      <c r="N13" s="7"/>
    </row>
    <row r="14" spans="1:14" ht="36" customHeight="1">
      <c r="A14" s="5" t="s">
        <v>81</v>
      </c>
      <c r="B14" s="6" t="s">
        <v>82</v>
      </c>
      <c r="C14" s="7" t="s">
        <v>81</v>
      </c>
      <c r="D14" s="7" t="s">
        <v>83</v>
      </c>
      <c r="E14" s="7" t="s">
        <v>41</v>
      </c>
      <c r="F14" s="7" t="s">
        <v>84</v>
      </c>
      <c r="G14" s="7"/>
      <c r="H14" s="7"/>
      <c r="I14" s="7"/>
      <c r="J14" s="7"/>
      <c r="K14" s="7"/>
      <c r="L14" s="6" t="s">
        <v>43</v>
      </c>
      <c r="M14" s="7"/>
      <c r="N14" s="7"/>
    </row>
    <row r="15" spans="1:14" ht="36" customHeight="1">
      <c r="A15" s="5" t="s">
        <v>85</v>
      </c>
      <c r="B15" s="6" t="s">
        <v>82</v>
      </c>
      <c r="C15" s="7" t="s">
        <v>85</v>
      </c>
      <c r="D15" s="7" t="s">
        <v>83</v>
      </c>
      <c r="E15" s="7" t="s">
        <v>56</v>
      </c>
      <c r="F15" s="7" t="s">
        <v>86</v>
      </c>
      <c r="G15" s="7"/>
      <c r="H15" s="7"/>
      <c r="I15" s="7"/>
      <c r="J15" s="7"/>
      <c r="K15" s="7"/>
      <c r="L15" s="6" t="s">
        <v>43</v>
      </c>
      <c r="M15" s="7"/>
      <c r="N15" s="7"/>
    </row>
    <row r="16" spans="1:14" ht="36" customHeight="1">
      <c r="A16" s="5" t="s">
        <v>87</v>
      </c>
      <c r="B16" s="6" t="s">
        <v>82</v>
      </c>
      <c r="C16" s="7" t="s">
        <v>87</v>
      </c>
      <c r="D16" s="7" t="s">
        <v>83</v>
      </c>
      <c r="E16" s="7" t="s">
        <v>49</v>
      </c>
      <c r="F16" s="7" t="s">
        <v>88</v>
      </c>
      <c r="G16" s="7"/>
      <c r="H16" s="7"/>
      <c r="I16" s="7"/>
      <c r="J16" s="7"/>
      <c r="K16" s="7"/>
      <c r="L16" s="6" t="s">
        <v>43</v>
      </c>
      <c r="M16" s="7"/>
      <c r="N16" s="7"/>
    </row>
    <row r="17" spans="1:14" ht="36" customHeight="1">
      <c r="A17" s="5" t="s">
        <v>89</v>
      </c>
      <c r="B17" s="6" t="s">
        <v>82</v>
      </c>
      <c r="C17" s="7" t="s">
        <v>89</v>
      </c>
      <c r="D17" s="7" t="s">
        <v>83</v>
      </c>
      <c r="E17" s="7" t="s">
        <v>41</v>
      </c>
      <c r="F17" s="7" t="s">
        <v>90</v>
      </c>
      <c r="G17" s="7"/>
      <c r="H17" s="7"/>
      <c r="I17" s="7"/>
      <c r="J17" s="7"/>
      <c r="K17" s="7"/>
      <c r="L17" s="6" t="s">
        <v>43</v>
      </c>
      <c r="M17" s="7"/>
      <c r="N17" s="7"/>
    </row>
    <row r="18" spans="1:14" ht="36" customHeight="1">
      <c r="A18" s="5" t="s">
        <v>91</v>
      </c>
      <c r="B18" s="6" t="s">
        <v>82</v>
      </c>
      <c r="C18" s="7" t="s">
        <v>92</v>
      </c>
      <c r="D18" s="7" t="s">
        <v>93</v>
      </c>
      <c r="E18" s="7" t="s">
        <v>41</v>
      </c>
      <c r="F18" s="7" t="s">
        <v>94</v>
      </c>
      <c r="G18" s="7"/>
      <c r="H18" s="7"/>
      <c r="I18" s="7"/>
      <c r="J18" s="7"/>
      <c r="K18" s="7"/>
      <c r="L18" s="6" t="s">
        <v>43</v>
      </c>
      <c r="M18" s="7"/>
      <c r="N18" s="7"/>
    </row>
    <row r="19" spans="1:14" ht="36" customHeight="1">
      <c r="A19" s="5" t="s">
        <v>95</v>
      </c>
      <c r="B19" s="6" t="s">
        <v>82</v>
      </c>
      <c r="C19" s="7" t="s">
        <v>96</v>
      </c>
      <c r="D19" s="7" t="s">
        <v>93</v>
      </c>
      <c r="E19" s="7" t="s">
        <v>41</v>
      </c>
      <c r="F19" s="7" t="s">
        <v>97</v>
      </c>
      <c r="G19" s="7"/>
      <c r="H19" s="7"/>
      <c r="I19" s="7"/>
      <c r="J19" s="7"/>
      <c r="K19" s="7"/>
      <c r="L19" s="6" t="s">
        <v>43</v>
      </c>
      <c r="M19" s="7"/>
      <c r="N19" s="7"/>
    </row>
    <row r="20" spans="1:14" ht="36" customHeight="1">
      <c r="A20" s="5" t="s">
        <v>98</v>
      </c>
      <c r="B20" s="6" t="s">
        <v>82</v>
      </c>
      <c r="C20" s="7" t="s">
        <v>99</v>
      </c>
      <c r="D20" s="7" t="s">
        <v>93</v>
      </c>
      <c r="E20" s="7" t="s">
        <v>49</v>
      </c>
      <c r="F20" s="7" t="s">
        <v>100</v>
      </c>
      <c r="G20" s="7"/>
      <c r="H20" s="7"/>
      <c r="I20" s="7"/>
      <c r="J20" s="7"/>
      <c r="K20" s="7"/>
      <c r="L20" s="6" t="s">
        <v>43</v>
      </c>
      <c r="M20" s="7"/>
      <c r="N20" s="7"/>
    </row>
    <row r="21" spans="1:14" ht="36" customHeight="1">
      <c r="A21" s="5" t="s">
        <v>101</v>
      </c>
      <c r="B21" s="6" t="s">
        <v>82</v>
      </c>
      <c r="C21" s="7" t="s">
        <v>102</v>
      </c>
      <c r="D21" s="7" t="s">
        <v>93</v>
      </c>
      <c r="E21" s="7" t="s">
        <v>49</v>
      </c>
      <c r="F21" s="7" t="s">
        <v>103</v>
      </c>
      <c r="G21" s="7"/>
      <c r="H21" s="7"/>
      <c r="I21" s="7"/>
      <c r="J21" s="7"/>
      <c r="K21" s="7"/>
      <c r="L21" s="6" t="s">
        <v>43</v>
      </c>
      <c r="M21" s="7"/>
      <c r="N21" s="7"/>
    </row>
    <row r="22" spans="1:14" ht="36" customHeight="1">
      <c r="A22" s="5" t="s">
        <v>104</v>
      </c>
      <c r="B22" s="6" t="s">
        <v>82</v>
      </c>
      <c r="C22" s="7" t="s">
        <v>105</v>
      </c>
      <c r="D22" s="7" t="s">
        <v>106</v>
      </c>
      <c r="E22" s="7" t="s">
        <v>56</v>
      </c>
      <c r="F22" s="7" t="s">
        <v>107</v>
      </c>
      <c r="G22" s="7"/>
      <c r="H22" s="7"/>
      <c r="I22" s="7"/>
      <c r="J22" s="7"/>
      <c r="K22" s="7"/>
      <c r="L22" s="6" t="s">
        <v>43</v>
      </c>
      <c r="M22" s="7"/>
      <c r="N22" s="7"/>
    </row>
    <row r="23" spans="1:14" ht="36" customHeight="1">
      <c r="A23" s="5" t="s">
        <v>108</v>
      </c>
      <c r="B23" s="6" t="s">
        <v>82</v>
      </c>
      <c r="C23" s="7" t="s">
        <v>109</v>
      </c>
      <c r="D23" s="7" t="s">
        <v>106</v>
      </c>
      <c r="E23" s="7" t="s">
        <v>56</v>
      </c>
      <c r="F23" s="7" t="s">
        <v>110</v>
      </c>
      <c r="G23" s="7"/>
      <c r="H23" s="7"/>
      <c r="I23" s="7"/>
      <c r="J23" s="7"/>
      <c r="K23" s="7"/>
      <c r="L23" s="6" t="s">
        <v>43</v>
      </c>
      <c r="M23" s="7"/>
      <c r="N23" s="7"/>
    </row>
    <row r="24" spans="1:14" ht="36" customHeight="1">
      <c r="A24" s="5" t="s">
        <v>111</v>
      </c>
      <c r="B24" s="6" t="s">
        <v>82</v>
      </c>
      <c r="C24" s="7" t="s">
        <v>112</v>
      </c>
      <c r="D24" s="7" t="s">
        <v>106</v>
      </c>
      <c r="E24" s="7" t="s">
        <v>41</v>
      </c>
      <c r="F24" s="7" t="s">
        <v>113</v>
      </c>
      <c r="G24" s="7"/>
      <c r="H24" s="7"/>
      <c r="I24" s="7"/>
      <c r="J24" s="7"/>
      <c r="K24" s="7"/>
      <c r="L24" s="6" t="s">
        <v>43</v>
      </c>
      <c r="M24" s="7"/>
      <c r="N24" s="7"/>
    </row>
    <row r="25" spans="1:14" ht="36" customHeight="1">
      <c r="A25" s="5" t="s">
        <v>114</v>
      </c>
      <c r="B25" s="6" t="s">
        <v>82</v>
      </c>
      <c r="C25" s="7" t="s">
        <v>85</v>
      </c>
      <c r="D25" s="7" t="s">
        <v>83</v>
      </c>
      <c r="E25" s="7" t="s">
        <v>49</v>
      </c>
      <c r="F25" s="7" t="s">
        <v>115</v>
      </c>
      <c r="G25" s="7"/>
      <c r="H25" s="7"/>
      <c r="I25" s="7"/>
      <c r="J25" s="7"/>
      <c r="K25" s="7"/>
      <c r="L25" s="6" t="s">
        <v>43</v>
      </c>
      <c r="M25" s="7"/>
      <c r="N25" s="7"/>
    </row>
    <row r="26" spans="1:14" ht="191" customHeight="1">
      <c r="A26" s="5" t="s">
        <v>116</v>
      </c>
      <c r="B26" s="6" t="s">
        <v>117</v>
      </c>
      <c r="C26" s="7" t="s">
        <v>116</v>
      </c>
      <c r="D26" s="7" t="s">
        <v>118</v>
      </c>
      <c r="E26" s="7" t="s">
        <v>56</v>
      </c>
      <c r="F26" s="12" t="s">
        <v>165</v>
      </c>
      <c r="G26" s="12" t="s">
        <v>166</v>
      </c>
      <c r="H26" s="12" t="s">
        <v>167</v>
      </c>
      <c r="I26" s="14" t="s">
        <v>168</v>
      </c>
      <c r="J26" s="12" t="s">
        <v>169</v>
      </c>
      <c r="K26" s="12" t="s">
        <v>170</v>
      </c>
      <c r="L26" s="13" t="s">
        <v>171</v>
      </c>
      <c r="M26" s="7" t="s">
        <v>172</v>
      </c>
      <c r="N26" s="7"/>
    </row>
    <row r="27" spans="1:14" ht="36" customHeight="1">
      <c r="A27" s="5" t="s">
        <v>119</v>
      </c>
      <c r="B27" s="6" t="s">
        <v>117</v>
      </c>
      <c r="C27" s="7" t="s">
        <v>119</v>
      </c>
      <c r="D27" s="7" t="s">
        <v>118</v>
      </c>
      <c r="E27" s="7" t="s">
        <v>49</v>
      </c>
      <c r="F27" s="12" t="s">
        <v>174</v>
      </c>
      <c r="G27" s="12" t="s">
        <v>173</v>
      </c>
      <c r="H27" s="7"/>
      <c r="I27" s="7"/>
      <c r="J27" s="7"/>
      <c r="K27" s="7"/>
      <c r="L27" s="6" t="s">
        <v>43</v>
      </c>
      <c r="M27" s="7"/>
      <c r="N27" s="7"/>
    </row>
    <row r="28" spans="1:14" ht="36" customHeight="1">
      <c r="A28" s="5" t="s">
        <v>120</v>
      </c>
      <c r="B28" s="6" t="s">
        <v>117</v>
      </c>
      <c r="C28" s="7" t="s">
        <v>121</v>
      </c>
      <c r="D28" s="7" t="s">
        <v>118</v>
      </c>
      <c r="E28" s="7" t="s">
        <v>49</v>
      </c>
      <c r="F28" s="7" t="s">
        <v>122</v>
      </c>
      <c r="G28" s="7"/>
      <c r="H28" s="7"/>
      <c r="I28" s="7"/>
      <c r="J28" s="7"/>
      <c r="K28" s="7"/>
      <c r="L28" s="6" t="s">
        <v>43</v>
      </c>
      <c r="M28" s="7"/>
      <c r="N28" s="7"/>
    </row>
    <row r="29" spans="1:14" ht="36" customHeight="1">
      <c r="A29" s="5" t="s">
        <v>121</v>
      </c>
      <c r="B29" s="6" t="s">
        <v>117</v>
      </c>
      <c r="C29" s="7" t="s">
        <v>123</v>
      </c>
      <c r="D29" s="7" t="s">
        <v>118</v>
      </c>
      <c r="E29" s="7" t="s">
        <v>56</v>
      </c>
      <c r="F29" s="7" t="s">
        <v>124</v>
      </c>
      <c r="G29" s="7"/>
      <c r="H29" s="7"/>
      <c r="I29" s="7"/>
      <c r="J29" s="7"/>
      <c r="K29" s="7"/>
      <c r="L29" s="6" t="s">
        <v>43</v>
      </c>
      <c r="M29" s="7"/>
      <c r="N29" s="7"/>
    </row>
    <row r="30" spans="1:14" ht="36" customHeight="1">
      <c r="A30" s="5" t="s">
        <v>125</v>
      </c>
      <c r="B30" s="6" t="s">
        <v>117</v>
      </c>
      <c r="C30" s="7" t="s">
        <v>126</v>
      </c>
      <c r="D30" s="7" t="s">
        <v>118</v>
      </c>
      <c r="E30" s="7" t="s">
        <v>41</v>
      </c>
      <c r="F30" s="7" t="s">
        <v>127</v>
      </c>
      <c r="G30" s="7"/>
      <c r="H30" s="7"/>
      <c r="I30" s="7"/>
      <c r="J30" s="7"/>
      <c r="K30" s="7"/>
      <c r="L30" s="6" t="s">
        <v>43</v>
      </c>
      <c r="M30" s="7"/>
      <c r="N30" s="7"/>
    </row>
    <row r="31" spans="1:14" ht="36" customHeight="1">
      <c r="A31" s="5" t="s">
        <v>123</v>
      </c>
      <c r="B31" s="6" t="s">
        <v>117</v>
      </c>
      <c r="C31" s="7" t="s">
        <v>128</v>
      </c>
      <c r="D31" s="7" t="s">
        <v>118</v>
      </c>
      <c r="E31" s="7" t="s">
        <v>41</v>
      </c>
      <c r="F31" s="7" t="s">
        <v>129</v>
      </c>
      <c r="G31" s="7"/>
      <c r="H31" s="7"/>
      <c r="I31" s="7"/>
      <c r="J31" s="7"/>
      <c r="K31" s="7"/>
      <c r="L31" s="6" t="s">
        <v>43</v>
      </c>
      <c r="M31" s="7"/>
      <c r="N31" s="7"/>
    </row>
    <row r="32" spans="1:14" ht="36" customHeight="1">
      <c r="A32" s="5" t="s">
        <v>130</v>
      </c>
      <c r="B32" s="6" t="s">
        <v>117</v>
      </c>
      <c r="C32" s="7" t="s">
        <v>130</v>
      </c>
      <c r="D32" s="7" t="s">
        <v>131</v>
      </c>
      <c r="E32" s="7" t="s">
        <v>56</v>
      </c>
      <c r="F32" s="7" t="s">
        <v>132</v>
      </c>
      <c r="G32" s="7"/>
      <c r="H32" s="7"/>
      <c r="I32" s="7"/>
      <c r="J32" s="7"/>
      <c r="K32" s="7"/>
      <c r="L32" s="6" t="s">
        <v>43</v>
      </c>
      <c r="M32" s="7"/>
      <c r="N32" s="7"/>
    </row>
    <row r="33" spans="1:14" ht="36" customHeight="1">
      <c r="A33" s="5" t="s">
        <v>133</v>
      </c>
      <c r="B33" s="6" t="s">
        <v>117</v>
      </c>
      <c r="C33" s="7" t="s">
        <v>134</v>
      </c>
      <c r="D33" s="7" t="s">
        <v>131</v>
      </c>
      <c r="E33" s="7" t="s">
        <v>41</v>
      </c>
      <c r="F33" s="7" t="s">
        <v>135</v>
      </c>
      <c r="G33" s="7"/>
      <c r="H33" s="7"/>
      <c r="I33" s="7"/>
      <c r="J33" s="7"/>
      <c r="K33" s="7"/>
      <c r="L33" s="6" t="s">
        <v>43</v>
      </c>
      <c r="M33" s="7"/>
      <c r="N33" s="7"/>
    </row>
    <row r="34" spans="1:14" ht="36" customHeight="1">
      <c r="A34" s="5" t="s">
        <v>134</v>
      </c>
      <c r="B34" s="6" t="s">
        <v>117</v>
      </c>
      <c r="C34" s="7" t="s">
        <v>136</v>
      </c>
      <c r="D34" s="7" t="s">
        <v>131</v>
      </c>
      <c r="E34" s="7" t="s">
        <v>49</v>
      </c>
      <c r="F34" s="7" t="s">
        <v>137</v>
      </c>
      <c r="G34" s="7"/>
      <c r="H34" s="7"/>
      <c r="I34" s="7"/>
      <c r="J34" s="7"/>
      <c r="K34" s="7"/>
      <c r="L34" s="6" t="s">
        <v>43</v>
      </c>
      <c r="M34" s="7"/>
      <c r="N34" s="7"/>
    </row>
    <row r="35" spans="1:14" ht="36" customHeight="1">
      <c r="A35" s="5" t="s">
        <v>138</v>
      </c>
      <c r="B35" s="6" t="s">
        <v>117</v>
      </c>
      <c r="C35" s="7" t="s">
        <v>139</v>
      </c>
      <c r="D35" s="7" t="s">
        <v>140</v>
      </c>
      <c r="E35" s="7" t="s">
        <v>56</v>
      </c>
      <c r="F35" s="7" t="s">
        <v>141</v>
      </c>
      <c r="G35" s="7"/>
      <c r="H35" s="7"/>
      <c r="I35" s="7"/>
      <c r="J35" s="7"/>
      <c r="K35" s="7"/>
      <c r="L35" s="6" t="s">
        <v>43</v>
      </c>
      <c r="M35" s="7"/>
      <c r="N35" s="7"/>
    </row>
    <row r="36" spans="1:14" ht="36" customHeight="1">
      <c r="A36" s="5" t="s">
        <v>136</v>
      </c>
      <c r="B36" s="6" t="s">
        <v>117</v>
      </c>
      <c r="C36" s="7" t="s">
        <v>142</v>
      </c>
      <c r="D36" s="7" t="s">
        <v>131</v>
      </c>
      <c r="E36" s="7" t="s">
        <v>56</v>
      </c>
      <c r="F36" s="7" t="s">
        <v>143</v>
      </c>
      <c r="G36" s="7"/>
      <c r="H36" s="7"/>
      <c r="I36" s="7"/>
      <c r="J36" s="7"/>
      <c r="K36" s="7"/>
      <c r="L36" s="6" t="s">
        <v>43</v>
      </c>
      <c r="M36" s="7"/>
      <c r="N36" s="7"/>
    </row>
    <row r="37" spans="1:14" ht="36" customHeight="1">
      <c r="A37" s="5" t="s">
        <v>142</v>
      </c>
      <c r="B37" s="6" t="s">
        <v>117</v>
      </c>
      <c r="C37" s="7" t="s">
        <v>144</v>
      </c>
      <c r="D37" s="7" t="s">
        <v>131</v>
      </c>
      <c r="E37" s="7" t="s">
        <v>41</v>
      </c>
      <c r="F37" s="7" t="s">
        <v>145</v>
      </c>
      <c r="G37" s="7"/>
      <c r="H37" s="7"/>
      <c r="I37" s="7"/>
      <c r="J37" s="7"/>
      <c r="K37" s="7"/>
      <c r="L37" s="6" t="s">
        <v>43</v>
      </c>
      <c r="M37" s="7"/>
      <c r="N37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showGridLines="0" workbookViewId="0"/>
  </sheetViews>
  <sheetFormatPr defaultRowHeight="14"/>
  <cols>
    <col min="1" max="1" width="16" customWidth="1"/>
    <col min="2" max="2" width="90" customWidth="1"/>
    <col min="3" max="6" width="22" customWidth="1"/>
  </cols>
  <sheetData>
    <row r="1" spans="1:6">
      <c r="A1" s="8" t="s">
        <v>146</v>
      </c>
      <c r="B1" s="8" t="s">
        <v>147</v>
      </c>
      <c r="C1" s="8" t="s">
        <v>41</v>
      </c>
      <c r="D1" s="8" t="s">
        <v>49</v>
      </c>
      <c r="E1" s="8" t="s">
        <v>56</v>
      </c>
      <c r="F1" s="8" t="s">
        <v>148</v>
      </c>
    </row>
    <row r="2" spans="1:6" ht="28">
      <c r="A2" s="7" t="s">
        <v>149</v>
      </c>
      <c r="B2" s="7">
        <f>COUNTIF(用例清单!B2:B37,"A")</f>
        <v>12</v>
      </c>
      <c r="C2" s="7">
        <f>COUNTIFS(用例清单!B2:B37,"A",用例清单!E2:E37,"等价类")</f>
        <v>5</v>
      </c>
      <c r="D2" s="7">
        <f>COUNTIFS(用例清单!B2:B37,"A",用例清单!E2:E37,"边界值")</f>
        <v>4</v>
      </c>
      <c r="E2" s="7">
        <f>COUNTIFS(用例清单!B2:B37,"A",用例清单!E2:E37,"场景法")</f>
        <v>3</v>
      </c>
      <c r="F2" s="7" t="s">
        <v>150</v>
      </c>
    </row>
    <row r="3" spans="1:6" ht="28">
      <c r="A3" s="7" t="s">
        <v>151</v>
      </c>
      <c r="B3" s="7">
        <f>COUNTIF(用例清单!B2:B37,"B")</f>
        <v>12</v>
      </c>
      <c r="C3" s="7">
        <f>COUNTIFS(用例清单!B2:B37,"B",用例清单!E2:E37,"等价类")</f>
        <v>5</v>
      </c>
      <c r="D3" s="7">
        <f>COUNTIFS(用例清单!B2:B37,"B",用例清单!E2:E37,"边界值")</f>
        <v>4</v>
      </c>
      <c r="E3" s="7">
        <f>COUNTIFS(用例清单!B2:B37,"B",用例清单!E2:E37,"场景法")</f>
        <v>3</v>
      </c>
      <c r="F3" s="7" t="s">
        <v>150</v>
      </c>
    </row>
    <row r="4" spans="1:6" ht="28">
      <c r="A4" s="7" t="s">
        <v>152</v>
      </c>
      <c r="B4" s="7">
        <f>COUNTIF(用例清单!B2:B37,"C")</f>
        <v>12</v>
      </c>
      <c r="C4" s="7">
        <f>COUNTIFS(用例清单!B2:B37,"C",用例清单!E2:E37,"等价类")</f>
        <v>4</v>
      </c>
      <c r="D4" s="7">
        <f>COUNTIFS(用例清单!B2:B37,"C",用例清单!E2:E37,"边界值")</f>
        <v>3</v>
      </c>
      <c r="E4" s="7">
        <f>COUNTIFS(用例清单!B2:B37,"C",用例清单!E2:E37,"场景法")</f>
        <v>5</v>
      </c>
      <c r="F4" s="7" t="s">
        <v>150</v>
      </c>
    </row>
    <row r="5" spans="1:6">
      <c r="A5" s="9" t="s">
        <v>153</v>
      </c>
      <c r="B5" s="9">
        <f>SUM(B2:B4)</f>
        <v>36</v>
      </c>
      <c r="C5" s="9">
        <f>SUM(C2:C4)</f>
        <v>14</v>
      </c>
      <c r="D5" s="9">
        <f>SUM(D2:D4)</f>
        <v>11</v>
      </c>
      <c r="E5" s="9">
        <f>SUM(E2:E4)</f>
        <v>11</v>
      </c>
      <c r="F5" s="9" t="s">
        <v>154</v>
      </c>
    </row>
    <row r="7" spans="1:6" ht="32" customHeight="1">
      <c r="A7" s="10" t="s">
        <v>155</v>
      </c>
      <c r="B7" s="2" t="s">
        <v>156</v>
      </c>
    </row>
    <row r="8" spans="1:6" ht="32" customHeight="1">
      <c r="A8" s="10" t="s">
        <v>157</v>
      </c>
      <c r="B8" s="2" t="s">
        <v>158</v>
      </c>
    </row>
    <row r="9" spans="1:6" ht="32" customHeight="1">
      <c r="A9" s="10" t="s">
        <v>159</v>
      </c>
      <c r="B9" s="2" t="s">
        <v>160</v>
      </c>
    </row>
    <row r="10" spans="1:6" ht="32" customHeight="1">
      <c r="A10" s="10" t="s">
        <v>161</v>
      </c>
      <c r="B10" s="2" t="s">
        <v>162</v>
      </c>
    </row>
    <row r="11" spans="1:6" ht="32" customHeight="1">
      <c r="A11" s="10" t="s">
        <v>163</v>
      </c>
      <c r="B11" s="2" t="s">
        <v>164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填写说明</vt:lpstr>
      <vt:lpstr>用例清单</vt:lpstr>
      <vt:lpstr>覆盖矩阵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xiangxuan huo</cp:lastModifiedBy>
  <dcterms:modified xsi:type="dcterms:W3CDTF">2026-09-15T07:28:28Z</dcterms:modified>
</cp:coreProperties>
</file>